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3622edf30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店每托盘分类" sheetId="1" r:id="R67c3922ebdc24758"/>
    <x:sheet xmlns:r="http://schemas.openxmlformats.org/officeDocument/2006/relationships" name="分店汇总" sheetId="2" r:id="R5d9d4e5800b7455e"/>
    <x:sheet xmlns:r="http://schemas.openxmlformats.org/officeDocument/2006/relationships" name="分类明细" sheetId="3" r:id="R8d5b3c21df78449a"/>
    <x:sheet xmlns:r="http://schemas.openxmlformats.org/officeDocument/2006/relationships" name="Ropelight明细" sheetId="4" r:id="Rbc9de13bf0a94dd1"/>
    <x:sheet xmlns:r="http://schemas.openxmlformats.org/officeDocument/2006/relationships" name="核对说明" sheetId="5" r:id="R4d9589d5819c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6D28D9"/>
      <x:name val="Carlito"/>
    </x:font>
    <x:font>
      <x:b/>
      <x:sz val="11"/>
      <x:color rgb="FFB45309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B91C1C"/>
      </x:patternFill>
    </x:fill>
    <x:fill>
      <x:patternFill patternType="solid">
        <x:fgColor rgb="FF1D4ED8"/>
      </x:patternFill>
    </x:fill>
    <x:fill>
      <x:patternFill patternType="solid">
        <x:fgColor rgb="FF6D28D9"/>
      </x:patternFill>
    </x:fill>
    <x:fill>
      <x:patternFill patternType="solid">
        <x:fgColor rgb="FFCCFBF1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</x:fills>
  <x:borders count="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double">
        <x:color rgb="FF0F766E"/>
      </x:bottom>
    </x:border>
    <x:border>
      <x:bottom style="double">
        <x:color rgb="FF6D28D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4" xfId="0" applyNumberFormat="1" applyFont="1" applyFill="1" applyBorder="1"/>
    <x:xf numFmtId="200" fontId="4" fillId="9" borderId="4" xfId="0" applyNumberFormat="1" applyFont="1" applyFill="1" applyBorder="1"/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201" fontId="0" fillId="11" borderId="0" xfId="0" applyNumberFormat="1" applyFont="1" applyFill="1" applyBorder="1"/>
    <x:xf numFmtId="0" fontId="6" fillId="11" borderId="0" xfId="0" applyNumberFormat="1" applyFont="1" applyFill="1" applyBorder="1"/>
    <x:xf numFmtId="201" fontId="6" fillId="11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5c7a459514e0c" /><Relationship Type="http://schemas.openxmlformats.org/officeDocument/2006/relationships/theme" Target="/xl/theme/theme1.xml" Id="Re42b00877c6e418f" /><Relationship Type="http://schemas.openxmlformats.org/officeDocument/2006/relationships/sharedStrings" Target="/xl/sharedStrings.xml" Id="Re55fed6e51744722" /><Relationship Type="http://schemas.openxmlformats.org/officeDocument/2006/relationships/worksheet" Target="/xl/worksheets/sheet1.xml" Id="R67c3922ebdc24758" /><Relationship Type="http://schemas.openxmlformats.org/officeDocument/2006/relationships/worksheet" Target="/xl/worksheets/sheet2.xml" Id="R5d9d4e5800b7455e" /><Relationship Type="http://schemas.openxmlformats.org/officeDocument/2006/relationships/worksheet" Target="/xl/worksheets/sheet3.xml" Id="R8d5b3c21df78449a" /><Relationship Type="http://schemas.openxmlformats.org/officeDocument/2006/relationships/worksheet" Target="/xl/worksheets/sheet4.xml" Id="Rbc9de13bf0a94dd1" /><Relationship Type="http://schemas.openxmlformats.org/officeDocument/2006/relationships/worksheet" Target="/xl/worksheets/sheet5.xml" Id="R4d9589d5819c4a1a" /></Relationships>
</file>

<file path=xl/tables/table1.xml><?xml version="1.0" encoding="utf-8"?>
<x:table xmlns:x="http://schemas.openxmlformats.org/spreadsheetml/2006/main" id="2" name="PalletSummaryTable" displayName="PalletSummaryTable" ref="A4:L30" headerRowCount="1" totalsRowCount="0" totalsRowShown="0">
  <x:tableColumns count="12">
    <x:tableColumn id="1" name="分店"/>
    <x:tableColumn id="2" name="托盘"/>
    <x:tableColumn id="3" name="总箱数"/>
    <x:tableColumn id="4" name="总件数"/>
    <x:tableColumn id="5" name="万圣节箱数"/>
    <x:tableColumn id="6" name="圣诞普通箱数"/>
    <x:tableColumn id="7" name="圣诞灯饰箱数"/>
    <x:tableColumn id="8" name="Ropelight箱数"/>
    <x:tableColumn id="9" name="装载类型"/>
    <x:tableColumn id="10" name="主要子类"/>
    <x:tableColumn id="11" name="代表商品"/>
    <x:tableColumn id="12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tegoryDetailTable" displayName="CategoryDetailTable" ref="A4:J369" headerRowCount="1" totalsRowCount="0" totalsRowShown="0">
  <x:tableColumns count="10">
    <x:tableColumn id="1" name="分店"/>
    <x:tableColumn id="2" name="托盘"/>
    <x:tableColumn id="3" name="目录大类"/>
    <x:tableColumn id="4" name="目录子类"/>
    <x:tableColumn id="5" name="明细行数"/>
    <x:tableColumn id="6" name="箱数"/>
    <x:tableColumn id="7" name="件数"/>
    <x:tableColumn id="8" name="代表商品"/>
    <x:tableColumn id="9" name="分类依据"/>
    <x:tableColumn id="10" name="匹配方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pelightTable" displayName="RopelightTable" ref="A4:H14" headerRowCount="1" totalsRowCount="0" totalsRowShown="0">
  <x:tableColumns count="8">
    <x:tableColumn id="1" name="分店"/>
    <x:tableColumn id="2" name="托盘"/>
    <x:tableColumn id="3" name="SKU"/>
    <x:tableColumn id="4" name="商品名称"/>
    <x:tableColumn id="5" name="箱数"/>
    <x:tableColumn id="6" name="件数"/>
    <x:tableColumn id="7" name="分类依据"/>
    <x:tableColumn id="8" name="目录子类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2ea3445f1e4d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516dcf617442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a595f44d804e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7.78000020980835" hidden="0" customWidth="1"/>
    <x:col min="3" max="3" width="9.109999656677246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16.110000610351562" hidden="0" customWidth="1"/>
    <x:col min="10" max="10" width="35.560001373291016" hidden="0" customWidth="1"/>
    <x:col min="11" max="11" width="36.66999816894531" hidden="0" customWidth="1"/>
    <x:col min="12" max="12" width="21.110000610351562" hidden="0" customWidth="1"/>
  </x:cols>
  <x:sheetData>
    <x:row r="1" ht="30" customHeight="1">
      <x:c r="A1" s="4" t="str">
        <x:v>V0007551 每店每托盘分类</x:v>
      </x:c>
      <x:c r="B1" s="4" t="str">
        <x:v>V0007551 每店每托盘分类</x:v>
      </x:c>
      <x:c r="C1" s="4" t="str">
        <x:v>V0007551 每店每托盘分类</x:v>
      </x:c>
      <x:c r="D1" s="4" t="str">
        <x:v>V0007551 每店每托盘分类</x:v>
      </x:c>
      <x:c r="E1" s="4" t="str">
        <x:v>V0007551 每店每托盘分类</x:v>
      </x:c>
      <x:c r="F1" s="4" t="str">
        <x:v>V0007551 每店每托盘分类</x:v>
      </x:c>
      <x:c r="G1" s="4" t="str">
        <x:v>V0007551 每店每托盘分类</x:v>
      </x:c>
      <x:c r="H1" s="4" t="str">
        <x:v>V0007551 每店每托盘分类</x:v>
      </x:c>
      <x:c r="I1" s="4" t="str">
        <x:v>V0007551 每店每托盘分类</x:v>
      </x:c>
      <x:c r="J1" s="4" t="str">
        <x:v>V0007551 每店每托盘分类</x:v>
      </x:c>
      <x:c r="K1" s="4" t="str">
        <x:v>V0007551 每店每托盘分类</x:v>
      </x:c>
      <x:c r="L1" s="4" t="str">
        <x:v>V0007551 每店每托盘分类</x:v>
      </x:c>
    </x:row>
    <x:row r="2" ht="30" customHeight="1">
      <x:c r="A2" s="8" t="str">
        <x:v>分类结果来自装箱单明细与 2026 万圣节、圣诞普通商品、圣诞灯饰目录。箱数和件数由“分类明细”公式汇总。</x:v>
      </x:c>
      <x:c r="B2" s="8" t="str">
        <x:v>分类结果来自装箱单明细与 2026 万圣节、圣诞普通商品、圣诞灯饰目录。箱数和件数由“分类明细”公式汇总。</x:v>
      </x:c>
      <x:c r="C2" s="8" t="str">
        <x:v>分类结果来自装箱单明细与 2026 万圣节、圣诞普通商品、圣诞灯饰目录。箱数和件数由“分类明细”公式汇总。</x:v>
      </x:c>
      <x:c r="D2" s="8" t="str">
        <x:v>分类结果来自装箱单明细与 2026 万圣节、圣诞普通商品、圣诞灯饰目录。箱数和件数由“分类明细”公式汇总。</x:v>
      </x:c>
      <x:c r="E2" s="8" t="str">
        <x:v>分类结果来自装箱单明细与 2026 万圣节、圣诞普通商品、圣诞灯饰目录。箱数和件数由“分类明细”公式汇总。</x:v>
      </x:c>
      <x:c r="F2" s="8" t="str">
        <x:v>分类结果来自装箱单明细与 2026 万圣节、圣诞普通商品、圣诞灯饰目录。箱数和件数由“分类明细”公式汇总。</x:v>
      </x:c>
      <x:c r="G2" s="8" t="str">
        <x:v>分类结果来自装箱单明细与 2026 万圣节、圣诞普通商品、圣诞灯饰目录。箱数和件数由“分类明细”公式汇总。</x:v>
      </x:c>
      <x:c r="H2" s="8" t="str">
        <x:v>分类结果来自装箱单明细与 2026 万圣节、圣诞普通商品、圣诞灯饰目录。箱数和件数由“分类明细”公式汇总。</x:v>
      </x:c>
      <x:c r="I2" s="8" t="str">
        <x:v>分类结果来自装箱单明细与 2026 万圣节、圣诞普通商品、圣诞灯饰目录。箱数和件数由“分类明细”公式汇总。</x:v>
      </x:c>
      <x:c r="J2" s="8" t="str">
        <x:v>分类结果来自装箱单明细与 2026 万圣节、圣诞普通商品、圣诞灯饰目录。箱数和件数由“分类明细”公式汇总。</x:v>
      </x:c>
      <x:c r="K2" s="8" t="str">
        <x:v>分类结果来自装箱单明细与 2026 万圣节、圣诞普通商品、圣诞灯饰目录。箱数和件数由“分类明细”公式汇总。</x:v>
      </x:c>
      <x:c r="L2" s="8" t="str">
        <x:v>分类结果来自装箱单明细与 2026 万圣节、圣诞普通商品、圣诞灯饰目录。箱数和件数由“分类明细”公式汇总。</x:v>
      </x:c>
    </x:row>
    <x:row r="4" ht="32" customHeight="1">
      <x:c r="A4" s="20" t="str">
        <x:v>分店</x:v>
      </x:c>
      <x:c r="B4" s="21" t="str">
        <x:v>托盘</x:v>
      </x:c>
      <x:c r="C4" s="21" t="str">
        <x:v>总箱数</x:v>
      </x:c>
      <x:c r="D4" s="21" t="str">
        <x:v>总件数</x:v>
      </x:c>
      <x:c r="E4" s="27" t="str">
        <x:v>万圣节箱数</x:v>
      </x:c>
      <x:c r="F4" s="28" t="str">
        <x:v>圣诞普通箱数</x:v>
      </x:c>
      <x:c r="G4" s="29" t="str">
        <x:v>圣诞灯饰箱数</x:v>
      </x:c>
      <x:c r="H4" s="30" t="str">
        <x:v>Ropelight箱数</x:v>
      </x:c>
      <x:c r="I4" s="21" t="str">
        <x:v>装载类型</x:v>
      </x:c>
      <x:c r="J4" s="21" t="str">
        <x:v>主要子类</x:v>
      </x:c>
      <x:c r="K4" s="21" t="str">
        <x:v>代表商品</x:v>
      </x:c>
      <x:c r="L4" s="22" t="str">
        <x:v>备注</x:v>
      </x:c>
    </x:row>
    <x:row r="5" ht="42" customHeight="1">
      <x:c r="A5" s="24" t="str">
        <x:v>HB KAWANA</x:v>
      </x:c>
      <x:c r="B5" s="24" t="str">
        <x:v>5</x:v>
      </x:c>
      <x:c r="C5" s="25" t="n">
        <x:f>SUMIFS('分类明细'!$F$5:$F$369,'分类明细'!$A$5:$A$369,$A5,'分类明细'!$B$5:$B$369,$B5)</x:f>
        <x:v>135</x:v>
      </x:c>
      <x:c r="D5" s="25" t="n">
        <x:f>SUMIFS('分类明细'!$G$5:$G$369,'分类明细'!$A$5:$A$369,$A5,'分类明细'!$B$5:$B$369,$B5)</x:f>
        <x:v>2674</x:v>
      </x:c>
      <x:c r="E5" s="25" t="n">
        <x:f>SUMIFS('分类明细'!$F$5:$F$369,'分类明细'!$A$5:$A$369,$A5,'分类明细'!$B$5:$B$369,$B5,'分类明细'!$C$5:$C$369,"万圣节")</x:f>
        <x:v>135</x:v>
      </x:c>
      <x:c r="F5" s="25" t="n">
        <x:f>SUMIFS('分类明细'!$F$5:$F$369,'分类明细'!$A$5:$A$369,$A5,'分类明细'!$B$5:$B$369,$B5,'分类明细'!$C$5:$C$369,"圣诞普通商品")</x:f>
        <x:v>0</x:v>
      </x:c>
      <x:c r="G5" s="25" t="n">
        <x:f>SUMIFS('分类明细'!$F$5:$F$369,'分类明细'!$A$5:$A$369,$A5,'分类明细'!$B$5:$B$369,$B5,'分类明细'!$C$5:$C$369,"圣诞灯饰")</x:f>
        <x:v>0</x:v>
      </x:c>
      <x:c r="H5" s="25" t="n">
        <x:f>SUMIFS('分类明细'!$F$5:$F$369,'分类明细'!$A$5:$A$369,$A5,'分类明细'!$B$5:$B$369,$B5,'分类明细'!$D$5:$D$369,"Ropelight 绳灯")</x:f>
        <x:v>0</x:v>
      </x:c>
      <x:c r="I5" s="24" t="str">
        <x:f>IF(AND(E5&gt;0,F5+G5&gt;0),"万圣节+圣诞混装",IF(E5&gt;0,"纯万圣节",IF(AND(F5&gt;0,G5&gt;0),"圣诞普通+灯饰",IF(G5&gt;0,"纯圣诞灯饰","纯圣诞普通"))))</x:f>
        <x:v>纯万圣节</x:v>
      </x:c>
      <x:c r="J5" s="26" t="str">
        <x:v>万圣节装饰 27箱、通用服装 16箱、特效与化妆 14箱、装扮与配饰 9箱</x:v>
      </x:c>
      <x:c r="K5" s="26" t="str">
        <x:v>Tinsel Laser Mix 2m Asst；Costume Blue Frost Space Explorer Skeleton Kids；Face Paint Asst</x:v>
      </x:c>
      <x:c r="L5" s="26" t="str"/>
    </x:row>
    <x:row r="6" ht="42" customHeight="1">
      <x:c r="A6" s="24" t="str">
        <x:v>HB KAWANA</x:v>
      </x:c>
      <x:c r="B6" s="24" t="str">
        <x:v>11</x:v>
      </x:c>
      <x:c r="C6" s="25" t="n">
        <x:f>SUMIFS('分类明细'!$F$5:$F$369,'分类明细'!$A$5:$A$369,$A6,'分类明细'!$B$5:$B$369,$B6)</x:f>
        <x:v>73</x:v>
      </x:c>
      <x:c r="D6" s="25" t="n">
        <x:f>SUMIFS('分类明细'!$G$5:$G$369,'分类明细'!$A$5:$A$369,$A6,'分类明细'!$B$5:$B$369,$B6)</x:f>
        <x:v>1476</x:v>
      </x:c>
      <x:c r="E6" s="25" t="n">
        <x:f>SUMIFS('分类明细'!$F$5:$F$369,'分类明细'!$A$5:$A$369,$A6,'分类明细'!$B$5:$B$369,$B6,'分类明细'!$C$5:$C$369,"万圣节")</x:f>
        <x:v>0</x:v>
      </x:c>
      <x:c r="F6" s="25" t="n">
        <x:f>SUMIFS('分类明细'!$F$5:$F$369,'分类明细'!$A$5:$A$369,$A6,'分类明细'!$B$5:$B$369,$B6,'分类明细'!$C$5:$C$369,"圣诞普通商品")</x:f>
        <x:v>48</x:v>
      </x:c>
      <x:c r="G6" s="25" t="n">
        <x:f>SUMIFS('分类明细'!$F$5:$F$369,'分类明细'!$A$5:$A$369,$A6,'分类明细'!$B$5:$B$369,$B6,'分类明细'!$C$5:$C$369,"圣诞灯饰")</x:f>
        <x:v>25</x:v>
      </x:c>
      <x:c r="H6" s="25" t="n">
        <x:f>SUMIFS('分类明细'!$F$5:$F$369,'分类明细'!$A$5:$A$369,$A6,'分类明细'!$B$5:$B$369,$B6,'分类明细'!$D$5:$D$369,"Ropelight 绳灯")</x:f>
        <x:v>0</x:v>
      </x:c>
      <x:c r="I6" s="24" t="str">
        <x:f>IF(AND(E6&gt;0,F6+G6&gt;0),"万圣节+圣诞混装",IF(E6&gt;0,"纯万圣节",IF(AND(F6&gt;0,G6&gt;0),"圣诞普通+灯饰",IF(G6&gt;0,"纯圣诞灯饰","纯圣诞普通"))))</x:f>
        <x:v>圣诞普通+灯饰</x:v>
      </x:c>
      <x:c r="J6" s="26" t="str">
        <x:v>太阳能灯饰 12箱、花材与枝叶 9箱、铃铛 9箱、桌面装饰 8箱</x:v>
      </x:c>
      <x:c r="K6" s="26" t="str">
        <x:v>Solar Mini Candy Cane Path Lghts 8pk；Poinsettia Glitter Clip Asst；Tinsel Bell-Bulbs Hanger 30cm Asst</x:v>
      </x:c>
      <x:c r="L6" s="26" t="str">
        <x:v>跨目录混装</x:v>
      </x:c>
    </x:row>
    <x:row r="7" ht="42" customHeight="1">
      <x:c r="A7" s="24" t="str">
        <x:v>HB KAWANA</x:v>
      </x:c>
      <x:c r="B7" s="24" t="str">
        <x:v>12</x:v>
      </x:c>
      <x:c r="C7" s="25" t="n">
        <x:f>SUMIFS('分类明细'!$F$5:$F$369,'分类明细'!$A$5:$A$369,$A7,'分类明细'!$B$5:$B$369,$B7)</x:f>
        <x:v>48</x:v>
      </x:c>
      <x:c r="D7" s="25" t="n">
        <x:f>SUMIFS('分类明细'!$G$5:$G$369,'分类明细'!$A$5:$A$369,$A7,'分类明细'!$B$5:$B$369,$B7)</x:f>
        <x:v>764</x:v>
      </x:c>
      <x:c r="E7" s="25" t="n">
        <x:f>SUMIFS('分类明细'!$F$5:$F$369,'分类明细'!$A$5:$A$369,$A7,'分类明细'!$B$5:$B$369,$B7,'分类明细'!$C$5:$C$369,"万圣节")</x:f>
        <x:v>0</x:v>
      </x:c>
      <x:c r="F7" s="25" t="n">
        <x:f>SUMIFS('分类明细'!$F$5:$F$369,'分类明细'!$A$5:$A$369,$A7,'分类明细'!$B$5:$B$369,$B7,'分类明细'!$C$5:$C$369,"圣诞普通商品")</x:f>
        <x:v>24</x:v>
      </x:c>
      <x:c r="G7" s="25" t="n">
        <x:f>SUMIFS('分类明细'!$F$5:$F$369,'分类明细'!$A$5:$A$369,$A7,'分类明细'!$B$5:$B$369,$B7,'分类明细'!$C$5:$C$369,"圣诞灯饰")</x:f>
        <x:v>24</x:v>
      </x:c>
      <x:c r="H7" s="25" t="n">
        <x:f>SUMIFS('分类明细'!$F$5:$F$369,'分类明细'!$A$5:$A$369,$A7,'分类明细'!$B$5:$B$369,$B7,'分类明细'!$D$5:$D$369,"Ropelight 绳灯")</x:f>
        <x:v>4</x:v>
      </x:c>
      <x:c r="I7" s="24" t="str">
        <x:f>IF(AND(E7&gt;0,F7+G7&gt;0),"万圣节+圣诞混装",IF(E7&gt;0,"纯万圣节",IF(AND(F7&gt;0,G7&gt;0),"圣诞普通+灯饰",IF(G7&gt;0,"纯圣诞灯饰","纯圣诞普通"))))</x:f>
        <x:v>圣诞普通+灯饰</x:v>
      </x:c>
      <x:c r="J7" s="26" t="str">
        <x:v>太阳能灯饰 9箱、铃铛 7箱、创意灯饰 6箱、花材与枝叶 5箱、Ropelight 4箱</x:v>
      </x:c>
      <x:c r="K7" s="26" t="str">
        <x:v>Solar LED Reindeer Path Lights 10pk Multi；Mini Nutbells Door Hanger 20cm Asst；Motif Light Shooting Star Multi Col</x:v>
      </x:c>
      <x:c r="L7" s="26" t="str">
        <x:v>跨目录混装；含Ropelight</x:v>
      </x:c>
    </x:row>
    <x:row r="8" ht="42" customHeight="1">
      <x:c r="A8" s="24" t="str">
        <x:v>HB KAWANA</x:v>
      </x:c>
      <x:c r="B8" s="24" t="str">
        <x:v>13</x:v>
      </x:c>
      <x:c r="C8" s="25" t="n">
        <x:f>SUMIFS('分类明细'!$F$5:$F$369,'分类明细'!$A$5:$A$369,$A8,'分类明细'!$B$5:$B$369,$B8)</x:f>
        <x:v>36</x:v>
      </x:c>
      <x:c r="D8" s="25" t="n">
        <x:f>SUMIFS('分类明细'!$G$5:$G$369,'分类明细'!$A$5:$A$369,$A8,'分类明细'!$B$5:$B$369,$B8)</x:f>
        <x:v>344</x:v>
      </x:c>
      <x:c r="E8" s="25" t="n">
        <x:f>SUMIFS('分类明细'!$F$5:$F$369,'分类明细'!$A$5:$A$369,$A8,'分类明细'!$B$5:$B$369,$B8,'分类明细'!$C$5:$C$369,"万圣节")</x:f>
        <x:v>0</x:v>
      </x:c>
      <x:c r="F8" s="25" t="n">
        <x:f>SUMIFS('分类明细'!$F$5:$F$369,'分类明细'!$A$5:$A$369,$A8,'分类明细'!$B$5:$B$369,$B8,'分类明细'!$C$5:$C$369,"圣诞普通商品")</x:f>
        <x:v>6</x:v>
      </x:c>
      <x:c r="G8" s="25" t="n">
        <x:f>SUMIFS('分类明细'!$F$5:$F$369,'分类明细'!$A$5:$A$369,$A8,'分类明细'!$B$5:$B$369,$B8,'分类明细'!$C$5:$C$369,"圣诞灯饰")</x:f>
        <x:v>30</x:v>
      </x:c>
      <x:c r="H8" s="25" t="n">
        <x:f>SUMIFS('分类明细'!$F$5:$F$369,'分类明细'!$A$5:$A$369,$A8,'分类明细'!$B$5:$B$369,$B8,'分类明细'!$D$5:$D$369,"Ropelight 绳灯")</x:f>
        <x:v>4</x:v>
      </x:c>
      <x:c r="I8" s="24" t="str">
        <x:f>IF(AND(E8&gt;0,F8+G8&gt;0),"万圣节+圣诞混装",IF(E8&gt;0,"纯万圣节",IF(AND(F8&gt;0,G8&gt;0),"圣诞普通+灯饰",IF(G8&gt;0,"纯圣诞灯饰","纯圣诞普通"))))</x:f>
        <x:v>圣诞普通+灯饰</x:v>
      </x:c>
      <x:c r="J8" s="26" t="str">
        <x:v>太阳能灯饰 12箱、创意灯饰 6箱、花材与枝叶 4箱、图案灯/Motif Lights 4箱、Ropelight 4箱</x:v>
      </x:c>
      <x:c r="K8" s="26" t="str">
        <x:v>Solar LED Star Path Lights 5pk Asst；Flashing Parachute Light w/Nylon Santa；Foliage Berry Hanger with Bow Asst</x:v>
      </x:c>
      <x:c r="L8" s="26" t="str">
        <x:v>跨目录混装；含Ropelight</x:v>
      </x:c>
    </x:row>
    <x:row r="9" ht="42" customHeight="1">
      <x:c r="A9" s="24" t="str">
        <x:v>HB KAWANA</x:v>
      </x:c>
      <x:c r="B9" s="24" t="str">
        <x:v>19</x:v>
      </x:c>
      <x:c r="C9" s="25" t="n">
        <x:f>SUMIFS('分类明细'!$F$5:$F$369,'分类明细'!$A$5:$A$369,$A9,'分类明细'!$B$5:$B$369,$B9)</x:f>
        <x:v>82</x:v>
      </x:c>
      <x:c r="D9" s="25" t="n">
        <x:f>SUMIFS('分类明细'!$G$5:$G$369,'分类明细'!$A$5:$A$369,$A9,'分类明细'!$B$5:$B$369,$B9)</x:f>
        <x:v>1054</x:v>
      </x:c>
      <x:c r="E9" s="25" t="n">
        <x:f>SUMIFS('分类明细'!$F$5:$F$369,'分类明细'!$A$5:$A$369,$A9,'分类明细'!$B$5:$B$369,$B9,'分类明细'!$C$5:$C$369,"万圣节")</x:f>
        <x:v>56</x:v>
      </x:c>
      <x:c r="F9" s="25" t="n">
        <x:f>SUMIFS('分类明细'!$F$5:$F$369,'分类明细'!$A$5:$A$369,$A9,'分类明细'!$B$5:$B$369,$B9,'分类明细'!$C$5:$C$369,"圣诞普通商品")</x:f>
        <x:v>15</x:v>
      </x:c>
      <x:c r="G9" s="25" t="n">
        <x:f>SUMIFS('分类明细'!$F$5:$F$369,'分类明细'!$A$5:$A$369,$A9,'分类明细'!$B$5:$B$369,$B9,'分类明细'!$C$5:$C$369,"圣诞灯饰")</x:f>
        <x:v>11</x:v>
      </x:c>
      <x:c r="H9" s="25" t="n">
        <x:f>SUMIFS('分类明细'!$F$5:$F$369,'分类明细'!$A$5:$A$369,$A9,'分类明细'!$B$5:$B$369,$B9,'分类明细'!$D$5:$D$369,"Ropelight 绳灯")</x:f>
        <x:v>0</x:v>
      </x:c>
      <x:c r="I9" s="24" t="str">
        <x:f>IF(AND(E9&gt;0,F9+G9&gt;0),"万圣节+圣诞混装",IF(E9&gt;0,"纯万圣节",IF(AND(F9&gt;0,G9&gt;0),"圣诞普通+灯饰",IF(G9&gt;0,"纯圣诞灯饰","纯圣诞普通"))))</x:f>
        <x:v>万圣节+圣诞混装</x:v>
      </x:c>
      <x:c r="J9" s="26" t="str">
        <x:v>通用服装 10箱、花材与枝叶 7箱、装扮与配饰 5箱、女巫 5箱</x:v>
      </x:c>
      <x:c r="K9" s="26" t="str">
        <x:v>Costume Bloody Zombie Convict Kids；Holly &amp; Berries Garland 2.7m；Spooky Dazzling Dangling Earrings Asst</x:v>
      </x:c>
      <x:c r="L9" s="26" t="str">
        <x:v>跨目录混装</x:v>
      </x:c>
    </x:row>
    <x:row r="10" ht="42" customHeight="1">
      <x:c r="A10" s="24" t="str">
        <x:v>HB KAWANA</x:v>
      </x:c>
      <x:c r="B10" s="24" t="str">
        <x:v>Loose</x:v>
      </x:c>
      <x:c r="C10" s="25" t="n">
        <x:f>SUMIFS('分类明细'!$F$5:$F$369,'分类明细'!$A$5:$A$369,$A10,'分类明细'!$B$5:$B$369,$B10)</x:f>
        <x:v>2</x:v>
      </x:c>
      <x:c r="D10" s="25" t="n">
        <x:f>SUMIFS('分类明细'!$G$5:$G$369,'分类明细'!$A$5:$A$369,$A10,'分类明细'!$B$5:$B$369,$B10)</x:f>
        <x:v>24</x:v>
      </x:c>
      <x:c r="E10" s="25" t="n">
        <x:f>SUMIFS('分类明细'!$F$5:$F$369,'分类明细'!$A$5:$A$369,$A10,'分类明细'!$B$5:$B$369,$B10,'分类明细'!$C$5:$C$369,"万圣节")</x:f>
        <x:v>0</x:v>
      </x:c>
      <x:c r="F10" s="25" t="n">
        <x:f>SUMIFS('分类明细'!$F$5:$F$369,'分类明细'!$A$5:$A$369,$A10,'分类明细'!$B$5:$B$369,$B10,'分类明细'!$C$5:$C$369,"圣诞普通商品")</x:f>
        <x:v>2</x:v>
      </x:c>
      <x:c r="G10" s="25" t="n">
        <x:f>SUMIFS('分类明细'!$F$5:$F$369,'分类明细'!$A$5:$A$369,$A10,'分类明细'!$B$5:$B$369,$B10,'分类明细'!$C$5:$C$369,"圣诞灯饰")</x:f>
        <x:v>0</x:v>
      </x:c>
      <x:c r="H10" s="25" t="n">
        <x:f>SUMIFS('分类明细'!$F$5:$F$369,'分类明细'!$A$5:$A$369,$A10,'分类明细'!$B$5:$B$369,$B10,'分类明细'!$D$5:$D$369,"Ropelight 绳灯")</x:f>
        <x:v>0</x:v>
      </x:c>
      <x:c r="I10" s="24" t="str">
        <x:f>IF(AND(E10&gt;0,F10+G10&gt;0),"万圣节+圣诞混装",IF(E10&gt;0,"纯万圣节",IF(AND(F10&gt;0,G10&gt;0),"圣诞普通+灯饰",IF(G10&gt;0,"纯圣诞灯饰","纯圣诞普通"))))</x:f>
        <x:v>纯圣诞普通</x:v>
      </x:c>
      <x:c r="J10" s="26" t="str">
        <x:v>墙面装饰 2箱</x:v>
      </x:c>
      <x:c r="K10" s="26" t="str">
        <x:v>Christmas Giant Selfie Frame</x:v>
      </x:c>
      <x:c r="L10" s="26" t="str">
        <x:v>散货，不属于编号托盘</x:v>
      </x:c>
    </x:row>
    <x:row r="11" ht="42" customHeight="1">
      <x:c r="A11" s="24" t="str">
        <x:v>HB KIPPA RING</x:v>
      </x:c>
      <x:c r="B11" s="24" t="str">
        <x:v>6</x:v>
      </x:c>
      <x:c r="C11" s="25" t="n">
        <x:f>SUMIFS('分类明细'!$F$5:$F$369,'分类明细'!$A$5:$A$369,$A11,'分类明细'!$B$5:$B$369,$B11)</x:f>
        <x:v>129</x:v>
      </x:c>
      <x:c r="D11" s="25" t="n">
        <x:f>SUMIFS('分类明细'!$G$5:$G$369,'分类明细'!$A$5:$A$369,$A11,'分类明细'!$B$5:$B$369,$B11)</x:f>
        <x:v>2046</x:v>
      </x:c>
      <x:c r="E11" s="25" t="n">
        <x:f>SUMIFS('分类明细'!$F$5:$F$369,'分类明细'!$A$5:$A$369,$A11,'分类明细'!$B$5:$B$369,$B11,'分类明细'!$C$5:$C$369,"万圣节")</x:f>
        <x:v>129</x:v>
      </x:c>
      <x:c r="F11" s="25" t="n">
        <x:f>SUMIFS('分类明细'!$F$5:$F$369,'分类明细'!$A$5:$A$369,$A11,'分类明细'!$B$5:$B$369,$B11,'分类明细'!$C$5:$C$369,"圣诞普通商品")</x:f>
        <x:v>0</x:v>
      </x:c>
      <x:c r="G11" s="25" t="n">
        <x:f>SUMIFS('分类明细'!$F$5:$F$369,'分类明细'!$A$5:$A$369,$A11,'分类明细'!$B$5:$B$369,$B11,'分类明细'!$C$5:$C$369,"圣诞灯饰")</x:f>
        <x:v>0</x:v>
      </x:c>
      <x:c r="H11" s="25" t="n">
        <x:f>SUMIFS('分类明细'!$F$5:$F$369,'分类明细'!$A$5:$A$369,$A11,'分类明细'!$B$5:$B$369,$B11,'分类明细'!$D$5:$D$369,"Ropelight 绳灯")</x:f>
        <x:v>0</x:v>
      </x:c>
      <x:c r="I11" s="24" t="str">
        <x:f>IF(AND(E11&gt;0,F11+G11&gt;0),"万圣节+圣诞混装",IF(E11&gt;0,"纯万圣节",IF(AND(F11&gt;0,G11&gt;0),"圣诞普通+灯饰",IF(G11&gt;0,"纯圣诞灯饰","纯圣诞普通"))))</x:f>
        <x:v>纯万圣节</x:v>
      </x:c>
      <x:c r="J11" s="26" t="str">
        <x:v>通用服装 16箱、万圣节装饰 14箱、恐怖嘉年华 12箱、邪恶恐怖 10箱</x:v>
      </x:c>
      <x:c r="K11" s="26" t="str">
        <x:v>Costume Pumpkin Toddler；Tinsel Laser Mix 2m Asst；Sinister Clown Mask Asst</x:v>
      </x:c>
      <x:c r="L11" s="26" t="str"/>
    </x:row>
    <x:row r="12" ht="42" customHeight="1">
      <x:c r="A12" s="24" t="str">
        <x:v>HB KIPPA RING</x:v>
      </x:c>
      <x:c r="B12" s="24" t="str">
        <x:v>16</x:v>
      </x:c>
      <x:c r="C12" s="25" t="n">
        <x:f>SUMIFS('分类明细'!$F$5:$F$369,'分类明细'!$A$5:$A$369,$A12,'分类明细'!$B$5:$B$369,$B12)</x:f>
        <x:v>67</x:v>
      </x:c>
      <x:c r="D12" s="25" t="n">
        <x:f>SUMIFS('分类明细'!$G$5:$G$369,'分类明细'!$A$5:$A$369,$A12,'分类明细'!$B$5:$B$369,$B12)</x:f>
        <x:v>1152</x:v>
      </x:c>
      <x:c r="E12" s="25" t="n">
        <x:f>SUMIFS('分类明细'!$F$5:$F$369,'分类明细'!$A$5:$A$369,$A12,'分类明细'!$B$5:$B$369,$B12,'分类明细'!$C$5:$C$369,"万圣节")</x:f>
        <x:v>0</x:v>
      </x:c>
      <x:c r="F12" s="25" t="n">
        <x:f>SUMIFS('分类明细'!$F$5:$F$369,'分类明细'!$A$5:$A$369,$A12,'分类明细'!$B$5:$B$369,$B12,'分类明细'!$C$5:$C$369,"圣诞普通商品")</x:f>
        <x:v>41</x:v>
      </x:c>
      <x:c r="G12" s="25" t="n">
        <x:f>SUMIFS('分类明细'!$F$5:$F$369,'分类明细'!$A$5:$A$369,$A12,'分类明细'!$B$5:$B$369,$B12,'分类明细'!$C$5:$C$369,"圣诞灯饰")</x:f>
        <x:v>26</x:v>
      </x:c>
      <x:c r="H12" s="25" t="n">
        <x:f>SUMIFS('分类明细'!$F$5:$F$369,'分类明细'!$A$5:$A$369,$A12,'分类明细'!$B$5:$B$369,$B12,'分类明细'!$D$5:$D$369,"Ropelight 绳灯")</x:f>
        <x:v>1</x:v>
      </x:c>
      <x:c r="I12" s="24" t="str">
        <x:f>IF(AND(E12&gt;0,F12+G12&gt;0),"万圣节+圣诞混装",IF(E12&gt;0,"纯万圣节",IF(AND(F12&gt;0,G12&gt;0),"圣诞普通+灯饰",IF(G12&gt;0,"纯圣诞灯饰","纯圣诞普通"))))</x:f>
        <x:v>圣诞普通+灯饰</x:v>
      </x:c>
      <x:c r="J12" s="26" t="str">
        <x:v>太阳能灯饰 14箱、花材与枝叶 13箱、铃铛 5箱、桌面装饰 5箱、Ropelight 1箱</x:v>
      </x:c>
      <x:c r="K12" s="26" t="str">
        <x:v>Solar Mini Candy Cane Path Lghts 8pk；Holly &amp; Berries Garland 2.7m；Mini Nutbells Door Hanger 20cm Asst</x:v>
      </x:c>
      <x:c r="L12" s="26" t="str">
        <x:v>跨目录混装；含Ropelight</x:v>
      </x:c>
    </x:row>
    <x:row r="13" ht="42" customHeight="1">
      <x:c r="A13" s="24" t="str">
        <x:v>HB KIPPA RING</x:v>
      </x:c>
      <x:c r="B13" s="24" t="str">
        <x:v>Loose</x:v>
      </x:c>
      <x:c r="C13" s="25" t="n">
        <x:f>SUMIFS('分类明细'!$F$5:$F$369,'分类明细'!$A$5:$A$369,$A13,'分类明细'!$B$5:$B$369,$B13)</x:f>
        <x:v>17</x:v>
      </x:c>
      <x:c r="D13" s="25" t="n">
        <x:f>SUMIFS('分类明细'!$G$5:$G$369,'分类明细'!$A$5:$A$369,$A13,'分类明细'!$B$5:$B$369,$B13)</x:f>
        <x:v>376</x:v>
      </x:c>
      <x:c r="E13" s="25" t="n">
        <x:f>SUMIFS('分类明细'!$F$5:$F$369,'分类明细'!$A$5:$A$369,$A13,'分类明细'!$B$5:$B$369,$B13,'分类明细'!$C$5:$C$369,"万圣节")</x:f>
        <x:v>0</x:v>
      </x:c>
      <x:c r="F13" s="25" t="n">
        <x:f>SUMIFS('分类明细'!$F$5:$F$369,'分类明细'!$A$5:$A$369,$A13,'分类明细'!$B$5:$B$369,$B13,'分类明细'!$C$5:$C$369,"圣诞普通商品")</x:f>
        <x:v>13</x:v>
      </x:c>
      <x:c r="G13" s="25" t="n">
        <x:f>SUMIFS('分类明细'!$F$5:$F$369,'分类明细'!$A$5:$A$369,$A13,'分类明细'!$B$5:$B$369,$B13,'分类明细'!$C$5:$C$369,"圣诞灯饰")</x:f>
        <x:v>4</x:v>
      </x:c>
      <x:c r="H13" s="25" t="n">
        <x:f>SUMIFS('分类明细'!$F$5:$F$369,'分类明细'!$A$5:$A$369,$A13,'分类明细'!$B$5:$B$369,$B13,'分类明细'!$D$5:$D$369,"Ropelight 绳灯")</x:f>
        <x:v>0</x:v>
      </x:c>
      <x:c r="I13" s="24" t="str">
        <x:f>IF(AND(E13&gt;0,F13+G13&gt;0),"万圣节+圣诞混装",IF(E13&gt;0,"纯万圣节",IF(AND(F13&gt;0,G13&gt;0),"圣诞普通+灯饰",IF(G13&gt;0,"纯圣诞灯饰","纯圣诞普通"))))</x:f>
        <x:v>圣诞普通+灯饰</x:v>
      </x:c>
      <x:c r="J13" s="26" t="str">
        <x:v>铃铛 3箱、花材与枝叶 2箱、桌面装饰 2箱、糖果手杖主题 2箱</x:v>
      </x:c>
      <x:c r="K13" s="26" t="str">
        <x:v>Tinsel Bell-Bulbs Hanger 30cm Asst；Poinsettia Glitter Clip Asst；Tree Topper Star 20cm Asst</x:v>
      </x:c>
      <x:c r="L13" s="26" t="str">
        <x:v>散货，不属于编号托盘；跨目录混装</x:v>
      </x:c>
    </x:row>
    <x:row r="14" ht="42" customHeight="1">
      <x:c r="A14" s="24" t="str">
        <x:v>HB ORION</x:v>
      </x:c>
      <x:c r="B14" s="24" t="str">
        <x:v>1</x:v>
      </x:c>
      <x:c r="C14" s="25" t="n">
        <x:f>SUMIFS('分类明细'!$F$5:$F$369,'分类明细'!$A$5:$A$369,$A14,'分类明细'!$B$5:$B$369,$B14)</x:f>
        <x:v>108</x:v>
      </x:c>
      <x:c r="D14" s="25" t="n">
        <x:f>SUMIFS('分类明细'!$G$5:$G$369,'分类明细'!$A$5:$A$369,$A14,'分类明细'!$B$5:$B$369,$B14)</x:f>
        <x:v>1887</x:v>
      </x:c>
      <x:c r="E14" s="25" t="n">
        <x:f>SUMIFS('分类明细'!$F$5:$F$369,'分类明细'!$A$5:$A$369,$A14,'分类明细'!$B$5:$B$369,$B14,'分类明细'!$C$5:$C$369,"万圣节")</x:f>
        <x:v>108</x:v>
      </x:c>
      <x:c r="F14" s="25" t="n">
        <x:f>SUMIFS('分类明细'!$F$5:$F$369,'分类明细'!$A$5:$A$369,$A14,'分类明细'!$B$5:$B$369,$B14,'分类明细'!$C$5:$C$369,"圣诞普通商品")</x:f>
        <x:v>0</x:v>
      </x:c>
      <x:c r="G14" s="25" t="n">
        <x:f>SUMIFS('分类明细'!$F$5:$F$369,'分类明细'!$A$5:$A$369,$A14,'分类明细'!$B$5:$B$369,$B14,'分类明细'!$C$5:$C$369,"圣诞灯饰")</x:f>
        <x:v>0</x:v>
      </x:c>
      <x:c r="H14" s="25" t="n">
        <x:f>SUMIFS('分类明细'!$F$5:$F$369,'分类明细'!$A$5:$A$369,$A14,'分类明细'!$B$5:$B$369,$B14,'分类明细'!$D$5:$D$369,"Ropelight 绳灯")</x:f>
        <x:v>0</x:v>
      </x:c>
      <x:c r="I14" s="24" t="str">
        <x:f>IF(AND(E14&gt;0,F14+G14&gt;0),"万圣节+圣诞混装",IF(E14&gt;0,"纯万圣节",IF(AND(F14&gt;0,G14&gt;0),"圣诞普通+灯饰",IF(G14&gt;0,"纯圣诞灯饰","纯圣诞普通"))))</x:f>
        <x:v>纯万圣节</x:v>
      </x:c>
      <x:c r="J14" s="26" t="str">
        <x:v>装扮与配饰 17箱、万圣节装饰 13箱、武器道具 12箱、通用服装 9箱</x:v>
      </x:c>
      <x:c r="K14" s="26" t="str">
        <x:v>Spider Earrings Asst；Spooky Tinsel with Shapes 2.6m Asst；Retractable Knife 19cm</x:v>
      </x:c>
      <x:c r="L14" s="26" t="str"/>
    </x:row>
    <x:row r="15" ht="42" customHeight="1">
      <x:c r="A15" s="24" t="str">
        <x:v>HB ORION</x:v>
      </x:c>
      <x:c r="B15" s="24" t="str">
        <x:v>2</x:v>
      </x:c>
      <x:c r="C15" s="25" t="n">
        <x:f>SUMIFS('分类明细'!$F$5:$F$369,'分类明细'!$A$5:$A$369,$A15,'分类明细'!$B$5:$B$369,$B15)</x:f>
        <x:v>124</x:v>
      </x:c>
      <x:c r="D15" s="25" t="n">
        <x:f>SUMIFS('分类明细'!$G$5:$G$369,'分类明细'!$A$5:$A$369,$A15,'分类明细'!$B$5:$B$369,$B15)</x:f>
        <x:v>2306</x:v>
      </x:c>
      <x:c r="E15" s="25" t="n">
        <x:f>SUMIFS('分类明细'!$F$5:$F$369,'分类明细'!$A$5:$A$369,$A15,'分类明细'!$B$5:$B$369,$B15,'分类明细'!$C$5:$C$369,"万圣节")</x:f>
        <x:v>124</x:v>
      </x:c>
      <x:c r="F15" s="25" t="n">
        <x:f>SUMIFS('分类明细'!$F$5:$F$369,'分类明细'!$A$5:$A$369,$A15,'分类明细'!$B$5:$B$369,$B15,'分类明细'!$C$5:$C$369,"圣诞普通商品")</x:f>
        <x:v>0</x:v>
      </x:c>
      <x:c r="G15" s="25" t="n">
        <x:f>SUMIFS('分类明细'!$F$5:$F$369,'分类明细'!$A$5:$A$369,$A15,'分类明细'!$B$5:$B$369,$B15,'分类明细'!$C$5:$C$369,"圣诞灯饰")</x:f>
        <x:v>0</x:v>
      </x:c>
      <x:c r="H15" s="25" t="n">
        <x:f>SUMIFS('分类明细'!$F$5:$F$369,'分类明细'!$A$5:$A$369,$A15,'分类明细'!$B$5:$B$369,$B15,'分类明细'!$D$5:$D$369,"Ropelight 绳灯")</x:f>
        <x:v>0</x:v>
      </x:c>
      <x:c r="I15" s="24" t="str">
        <x:f>IF(AND(E15&gt;0,F15+G15&gt;0),"万圣节+圣诞混装",IF(E15&gt;0,"纯万圣节",IF(AND(F15&gt;0,G15&gt;0),"圣诞普通+灯饰",IF(G15&gt;0,"纯圣诞灯饰","纯圣诞普通"))))</x:f>
        <x:v>纯万圣节</x:v>
      </x:c>
      <x:c r="J15" s="26" t="str">
        <x:v>万圣节装饰 29箱、特效与化妆 11箱、骷髅与骨头 11箱、恐怖嘉年华 10箱</x:v>
      </x:c>
      <x:c r="K15" s="26" t="str">
        <x:v>Horror Doorway Curtain 1.8m Asst；Fake Blood 14mL；Costume G.I.D Skeleton Kids</x:v>
      </x:c>
      <x:c r="L15" s="26" t="str"/>
    </x:row>
    <x:row r="16" ht="42" customHeight="1">
      <x:c r="A16" s="24" t="str">
        <x:v>HB ORION</x:v>
      </x:c>
      <x:c r="B16" s="24" t="str">
        <x:v>3</x:v>
      </x:c>
      <x:c r="C16" s="25" t="n">
        <x:f>SUMIFS('分类明细'!$F$5:$F$369,'分类明细'!$A$5:$A$369,$A16,'分类明细'!$B$5:$B$369,$B16)</x:f>
        <x:v>84</x:v>
      </x:c>
      <x:c r="D16" s="25" t="n">
        <x:f>SUMIFS('分类明细'!$G$5:$G$369,'分类明细'!$A$5:$A$369,$A16,'分类明细'!$B$5:$B$369,$B16)</x:f>
        <x:v>1872</x:v>
      </x:c>
      <x:c r="E16" s="25" t="n">
        <x:f>SUMIFS('分类明细'!$F$5:$F$369,'分类明细'!$A$5:$A$369,$A16,'分类明细'!$B$5:$B$369,$B16,'分类明细'!$C$5:$C$369,"万圣节")</x:f>
        <x:v>84</x:v>
      </x:c>
      <x:c r="F16" s="25" t="n">
        <x:f>SUMIFS('分类明细'!$F$5:$F$369,'分类明细'!$A$5:$A$369,$A16,'分类明细'!$B$5:$B$369,$B16,'分类明细'!$C$5:$C$369,"圣诞普通商品")</x:f>
        <x:v>0</x:v>
      </x:c>
      <x:c r="G16" s="25" t="n">
        <x:f>SUMIFS('分类明细'!$F$5:$F$369,'分类明细'!$A$5:$A$369,$A16,'分类明细'!$B$5:$B$369,$B16,'分类明细'!$C$5:$C$369,"圣诞灯饰")</x:f>
        <x:v>0</x:v>
      </x:c>
      <x:c r="H16" s="25" t="n">
        <x:f>SUMIFS('分类明细'!$F$5:$F$369,'分类明细'!$A$5:$A$369,$A16,'分类明细'!$B$5:$B$369,$B16,'分类明细'!$D$5:$D$369,"Ropelight 绳灯")</x:f>
        <x:v>0</x:v>
      </x:c>
      <x:c r="I16" s="24" t="str">
        <x:f>IF(AND(E16&gt;0,F16+G16&gt;0),"万圣节+圣诞混装",IF(E16&gt;0,"纯万圣节",IF(AND(F16&gt;0,G16&gt;0),"圣诞普通+灯饰",IF(G16&gt;0,"纯圣诞灯饰","纯圣诞普通"))))</x:f>
        <x:v>纯万圣节</x:v>
      </x:c>
      <x:c r="J16" s="26" t="str">
        <x:v>万圣节装饰 20箱、特效与化妆 10箱、不给糖就捣蛋与派对 8箱、装扮与配饰 7箱</x:v>
      </x:c>
      <x:c r="K16" s="26" t="str">
        <x:v>Tinsel Laser Mix 2m Asst；Fake Blood Spray 60mL；Trick Or Treat Bucket With Handle 15cm Asst</x:v>
      </x:c>
      <x:c r="L16" s="26" t="str"/>
    </x:row>
    <x:row r="17" ht="42" customHeight="1">
      <x:c r="A17" s="24" t="str">
        <x:v>HB ORION</x:v>
      </x:c>
      <x:c r="B17" s="24" t="str">
        <x:v>4</x:v>
      </x:c>
      <x:c r="C17" s="25" t="n">
        <x:f>SUMIFS('分类明细'!$F$5:$F$369,'分类明细'!$A$5:$A$369,$A17,'分类明细'!$B$5:$B$369,$B17)</x:f>
        <x:v>92</x:v>
      </x:c>
      <x:c r="D17" s="25" t="n">
        <x:f>SUMIFS('分类明细'!$G$5:$G$369,'分类明细'!$A$5:$A$369,$A17,'分类明细'!$B$5:$B$369,$B17)</x:f>
        <x:v>2039</x:v>
      </x:c>
      <x:c r="E17" s="25" t="n">
        <x:f>SUMIFS('分类明细'!$F$5:$F$369,'分类明细'!$A$5:$A$369,$A17,'分类明细'!$B$5:$B$369,$B17,'分类明细'!$C$5:$C$369,"万圣节")</x:f>
        <x:v>92</x:v>
      </x:c>
      <x:c r="F17" s="25" t="n">
        <x:f>SUMIFS('分类明细'!$F$5:$F$369,'分类明细'!$A$5:$A$369,$A17,'分类明细'!$B$5:$B$369,$B17,'分类明细'!$C$5:$C$369,"圣诞普通商品")</x:f>
        <x:v>0</x:v>
      </x:c>
      <x:c r="G17" s="25" t="n">
        <x:f>SUMIFS('分类明细'!$F$5:$F$369,'分类明细'!$A$5:$A$369,$A17,'分类明细'!$B$5:$B$369,$B17,'分类明细'!$C$5:$C$369,"圣诞灯饰")</x:f>
        <x:v>0</x:v>
      </x:c>
      <x:c r="H17" s="25" t="n">
        <x:f>SUMIFS('分类明细'!$F$5:$F$369,'分类明细'!$A$5:$A$369,$A17,'分类明细'!$B$5:$B$369,$B17,'分类明细'!$D$5:$D$369,"Ropelight 绳灯")</x:f>
        <x:v>0</x:v>
      </x:c>
      <x:c r="I17" s="24" t="str">
        <x:f>IF(AND(E17&gt;0,F17+G17&gt;0),"万圣节+圣诞混装",IF(E17&gt;0,"纯万圣节",IF(AND(F17&gt;0,G17&gt;0),"圣诞普通+灯饰",IF(G17&gt;0,"纯圣诞灯饰","纯圣诞普通"))))</x:f>
        <x:v>纯万圣节</x:v>
      </x:c>
      <x:c r="J17" s="26" t="str">
        <x:v>万圣节装饰 15箱、不给糖就捣蛋与派对 13箱、装扮与配饰 10箱、通用服装 6箱</x:v>
      </x:c>
      <x:c r="K17" s="26" t="str">
        <x:v>Bloody Gel Window Clings Asst；Pumpkin Bucket 18cm；Bloody Silver Weapon Earrings Asst</x:v>
      </x:c>
      <x:c r="L17" s="26" t="str"/>
    </x:row>
    <x:row r="18" ht="42" customHeight="1">
      <x:c r="A18" s="24" t="str">
        <x:v>HB ORION</x:v>
      </x:c>
      <x:c r="B18" s="24" t="str">
        <x:v>14</x:v>
      </x:c>
      <x:c r="C18" s="25" t="n">
        <x:f>SUMIFS('分类明细'!$F$5:$F$369,'分类明细'!$A$5:$A$369,$A18,'分类明细'!$B$5:$B$369,$B18)</x:f>
        <x:v>74</x:v>
      </x:c>
      <x:c r="D18" s="25" t="n">
        <x:f>SUMIFS('分类明细'!$G$5:$G$369,'分类明细'!$A$5:$A$369,$A18,'分类明细'!$B$5:$B$369,$B18)</x:f>
        <x:v>1452</x:v>
      </x:c>
      <x:c r="E18" s="25" t="n">
        <x:f>SUMIFS('分类明细'!$F$5:$F$369,'分类明细'!$A$5:$A$369,$A18,'分类明细'!$B$5:$B$369,$B18,'分类明细'!$C$5:$C$369,"万圣节")</x:f>
        <x:v>0</x:v>
      </x:c>
      <x:c r="F18" s="25" t="n">
        <x:f>SUMIFS('分类明细'!$F$5:$F$369,'分类明细'!$A$5:$A$369,$A18,'分类明细'!$B$5:$B$369,$B18,'分类明细'!$C$5:$C$369,"圣诞普通商品")</x:f>
        <x:v>52</x:v>
      </x:c>
      <x:c r="G18" s="25" t="n">
        <x:f>SUMIFS('分类明细'!$F$5:$F$369,'分类明细'!$A$5:$A$369,$A18,'分类明细'!$B$5:$B$369,$B18,'分类明细'!$C$5:$C$369,"圣诞灯饰")</x:f>
        <x:v>22</x:v>
      </x:c>
      <x:c r="H18" s="25" t="n">
        <x:f>SUMIFS('分类明细'!$F$5:$F$369,'分类明细'!$A$5:$A$369,$A18,'分类明细'!$B$5:$B$369,$B18,'分类明细'!$D$5:$D$369,"Ropelight 绳灯")</x:f>
        <x:v>1</x:v>
      </x:c>
      <x:c r="I18" s="24" t="str">
        <x:f>IF(AND(E18&gt;0,F18+G18&gt;0),"万圣节+圣诞混装",IF(E18&gt;0,"纯万圣节",IF(AND(F18&gt;0,G18&gt;0),"圣诞普通+灯饰",IF(G18&gt;0,"纯圣诞灯饰","纯圣诞普通"))))</x:f>
        <x:v>圣诞普通+灯饰</x:v>
      </x:c>
      <x:c r="J18" s="26" t="str">
        <x:v>太阳能灯饰 11箱、铃铛 10箱、花材与枝叶 8箱、桌面装饰 6箱、Ropelight 1箱</x:v>
      </x:c>
      <x:c r="K18" s="26" t="str">
        <x:v>Solar Mini Candy Cane Path Lghts 8pk；Mini Nutbells Door Hanger 20cm Asst；Holly &amp; Berries Garland 2.7m</x:v>
      </x:c>
      <x:c r="L18" s="26" t="str">
        <x:v>跨目录混装；含Ropelight</x:v>
      </x:c>
    </x:row>
    <x:row r="19" ht="42" customHeight="1">
      <x:c r="A19" s="24" t="str">
        <x:v>HB ORION</x:v>
      </x:c>
      <x:c r="B19" s="24" t="str">
        <x:v>15</x:v>
      </x:c>
      <x:c r="C19" s="25" t="n">
        <x:f>SUMIFS('分类明细'!$F$5:$F$369,'分类明细'!$A$5:$A$369,$A19,'分类明细'!$B$5:$B$369,$B19)</x:f>
        <x:v>45</x:v>
      </x:c>
      <x:c r="D19" s="25" t="n">
        <x:f>SUMIFS('分类明细'!$G$5:$G$369,'分类明细'!$A$5:$A$369,$A19,'分类明细'!$B$5:$B$369,$B19)</x:f>
        <x:v>572</x:v>
      </x:c>
      <x:c r="E19" s="25" t="n">
        <x:f>SUMIFS('分类明细'!$F$5:$F$369,'分类明细'!$A$5:$A$369,$A19,'分类明细'!$B$5:$B$369,$B19,'分类明细'!$C$5:$C$369,"万圣节")</x:f>
        <x:v>0</x:v>
      </x:c>
      <x:c r="F19" s="25" t="n">
        <x:f>SUMIFS('分类明细'!$F$5:$F$369,'分类明细'!$A$5:$A$369,$A19,'分类明细'!$B$5:$B$369,$B19,'分类明细'!$C$5:$C$369,"圣诞普通商品")</x:f>
        <x:v>21</x:v>
      </x:c>
      <x:c r="G19" s="25" t="n">
        <x:f>SUMIFS('分类明细'!$F$5:$F$369,'分类明细'!$A$5:$A$369,$A19,'分类明细'!$B$5:$B$369,$B19,'分类明细'!$C$5:$C$369,"圣诞灯饰")</x:f>
        <x:v>24</x:v>
      </x:c>
      <x:c r="H19" s="25" t="n">
        <x:f>SUMIFS('分类明细'!$F$5:$F$369,'分类明细'!$A$5:$A$369,$A19,'分类明细'!$B$5:$B$369,$B19,'分类明细'!$D$5:$D$369,"Ropelight 绳灯")</x:f>
        <x:v>2</x:v>
      </x:c>
      <x:c r="I19" s="24" t="str">
        <x:f>IF(AND(E19&gt;0,F19+G19&gt;0),"万圣节+圣诞混装",IF(E19&gt;0,"纯万圣节",IF(AND(F19&gt;0,G19&gt;0),"圣诞普通+灯饰",IF(G19&gt;0,"纯圣诞灯饰","纯圣诞普通"))))</x:f>
        <x:v>圣诞普通+灯饰</x:v>
      </x:c>
      <x:c r="J19" s="26" t="str">
        <x:v>太阳能灯饰 12箱、创意灯饰 6箱、花材与枝叶 5箱、林地丝绒主题 3箱、Ropelight 2箱</x:v>
      </x:c>
      <x:c r="K19" s="26" t="str">
        <x:v>Solar Mini Path Lights Star/Bulb 10pk Asst；LED Rainfall Tubes 12pk Mixed Size Multi Colour；Candycane Leaf Deco Pick 18cm Asst</x:v>
      </x:c>
      <x:c r="L19" s="26" t="str">
        <x:v>跨目录混装；含Ropelight</x:v>
      </x:c>
    </x:row>
    <x:row r="20" ht="42" customHeight="1">
      <x:c r="A20" s="24" t="str">
        <x:v>HB ORION</x:v>
      </x:c>
      <x:c r="B20" s="24" t="str">
        <x:v>18</x:v>
      </x:c>
      <x:c r="C20" s="25" t="n">
        <x:f>SUMIFS('分类明细'!$F$5:$F$369,'分类明细'!$A$5:$A$369,$A20,'分类明细'!$B$5:$B$369,$B20)</x:f>
        <x:v>104</x:v>
      </x:c>
      <x:c r="D20" s="25" t="n">
        <x:f>SUMIFS('分类明细'!$G$5:$G$369,'分类明细'!$A$5:$A$369,$A20,'分类明细'!$B$5:$B$369,$B20)</x:f>
        <x:v>2154</x:v>
      </x:c>
      <x:c r="E20" s="25" t="n">
        <x:f>SUMIFS('分类明细'!$F$5:$F$369,'分类明细'!$A$5:$A$369,$A20,'分类明细'!$B$5:$B$369,$B20,'分类明细'!$C$5:$C$369,"万圣节")</x:f>
        <x:v>43</x:v>
      </x:c>
      <x:c r="F20" s="25" t="n">
        <x:f>SUMIFS('分类明细'!$F$5:$F$369,'分类明细'!$A$5:$A$369,$A20,'分类明细'!$B$5:$B$369,$B20,'分类明细'!$C$5:$C$369,"圣诞普通商品")</x:f>
        <x:v>50</x:v>
      </x:c>
      <x:c r="G20" s="25" t="n">
        <x:f>SUMIFS('分类明细'!$F$5:$F$369,'分类明细'!$A$5:$A$369,$A20,'分类明细'!$B$5:$B$369,$B20,'分类明细'!$C$5:$C$369,"圣诞灯饰")</x:f>
        <x:v>11</x:v>
      </x:c>
      <x:c r="H20" s="25" t="n">
        <x:f>SUMIFS('分类明细'!$F$5:$F$369,'分类明细'!$A$5:$A$369,$A20,'分类明细'!$B$5:$B$369,$B20,'分类明细'!$D$5:$D$369,"Ropelight 绳灯")</x:f>
        <x:v>0</x:v>
      </x:c>
      <x:c r="I20" s="24" t="str">
        <x:f>IF(AND(E20&gt;0,F20+G20&gt;0),"万圣节+圣诞混装",IF(E20&gt;0,"纯万圣节",IF(AND(F20&gt;0,G20&gt;0),"圣诞普通+灯饰",IF(G20&gt;0,"纯圣诞灯饰","纯圣诞普通"))))</x:f>
        <x:v>万圣节+圣诞混装</x:v>
      </x:c>
      <x:c r="J20" s="26" t="str">
        <x:v>桌面装饰 9箱、铃铛 9箱、圣诞树挂饰 8箱、吸血鬼 7箱</x:v>
      </x:c>
      <x:c r="K20" s="26" t="str">
        <x:v>Tree Topper Star 20cm Asst；Triple Bells Hanger Berry Deco 40cm Asst；Hanging Iridescent Ballerina 18cm Asst</x:v>
      </x:c>
      <x:c r="L20" s="26" t="str">
        <x:v>跨目录混装</x:v>
      </x:c>
    </x:row>
    <x:row r="21" ht="42" customHeight="1">
      <x:c r="A21" s="24" t="str">
        <x:v>HB ROBINSON ROAD</x:v>
      </x:c>
      <x:c r="B21" s="24" t="str">
        <x:v>21</x:v>
      </x:c>
      <x:c r="C21" s="25" t="n">
        <x:f>SUMIFS('分类明细'!$F$5:$F$369,'分类明细'!$A$5:$A$369,$A21,'分类明细'!$B$5:$B$369,$B21)</x:f>
        <x:v>31</x:v>
      </x:c>
      <x:c r="D21" s="25" t="n">
        <x:f>SUMIFS('分类明细'!$G$5:$G$369,'分类明细'!$A$5:$A$369,$A21,'分类明细'!$B$5:$B$369,$B21)</x:f>
        <x:v>786</x:v>
      </x:c>
      <x:c r="E21" s="25" t="n">
        <x:f>SUMIFS('分类明细'!$F$5:$F$369,'分类明细'!$A$5:$A$369,$A21,'分类明细'!$B$5:$B$369,$B21,'分类明细'!$C$5:$C$369,"万圣节")</x:f>
        <x:v>0</x:v>
      </x:c>
      <x:c r="F21" s="25" t="n">
        <x:f>SUMIFS('分类明细'!$F$5:$F$369,'分类明细'!$A$5:$A$369,$A21,'分类明细'!$B$5:$B$369,$B21,'分类明细'!$C$5:$C$369,"圣诞普通商品")</x:f>
        <x:v>27</x:v>
      </x:c>
      <x:c r="G21" s="25" t="n">
        <x:f>SUMIFS('分类明细'!$F$5:$F$369,'分类明细'!$A$5:$A$369,$A21,'分类明细'!$B$5:$B$369,$B21,'分类明细'!$C$5:$C$369,"圣诞灯饰")</x:f>
        <x:v>4</x:v>
      </x:c>
      <x:c r="H21" s="25" t="n">
        <x:f>SUMIFS('分类明细'!$F$5:$F$369,'分类明细'!$A$5:$A$369,$A21,'分类明细'!$B$5:$B$369,$B21,'分类明细'!$D$5:$D$369,"Ropelight 绳灯")</x:f>
        <x:v>0</x:v>
      </x:c>
      <x:c r="I21" s="24" t="str">
        <x:f>IF(AND(E21&gt;0,F21+G21&gt;0),"万圣节+圣诞混装",IF(E21&gt;0,"纯万圣节",IF(AND(F21&gt;0,G21&gt;0),"圣诞普通+灯饰",IF(G21&gt;0,"纯圣诞灯饰","纯圣诞普通"))))</x:f>
        <x:v>圣诞普通+灯饰</x:v>
      </x:c>
      <x:c r="J21" s="26" t="str">
        <x:v>花材与枝叶 7箱、桌面装饰 6箱、铃铛 6箱、糖果手杖主题 3箱</x:v>
      </x:c>
      <x:c r="K21" s="26" t="str">
        <x:v>Poinsettia Glitter Clip Asst；Tree Topper Star 20cm Asst；Nutbells Pack Mega Mix Asst</x:v>
      </x:c>
      <x:c r="L21" s="26" t="str">
        <x:v>跨目录混装</x:v>
      </x:c>
    </x:row>
    <x:row r="22" ht="42" customHeight="1">
      <x:c r="A22" s="24" t="str">
        <x:v>HB ROBINSON ROAD</x:v>
      </x:c>
      <x:c r="B22" s="24" t="str">
        <x:v>Loose</x:v>
      </x:c>
      <x:c r="C22" s="25" t="n">
        <x:f>SUMIFS('分类明细'!$F$5:$F$369,'分类明细'!$A$5:$A$369,$A22,'分类明细'!$B$5:$B$369,$B22)</x:f>
        <x:v>1</x:v>
      </x:c>
      <x:c r="D22" s="25" t="n">
        <x:f>SUMIFS('分类明细'!$G$5:$G$369,'分类明细'!$A$5:$A$369,$A22,'分类明细'!$B$5:$B$369,$B22)</x:f>
        <x:v>36</x:v>
      </x:c>
      <x:c r="E22" s="25" t="n">
        <x:f>SUMIFS('分类明细'!$F$5:$F$369,'分类明细'!$A$5:$A$369,$A22,'分类明细'!$B$5:$B$369,$B22,'分类明细'!$C$5:$C$369,"万圣节")</x:f>
        <x:v>0</x:v>
      </x:c>
      <x:c r="F22" s="25" t="n">
        <x:f>SUMIFS('分类明细'!$F$5:$F$369,'分类明细'!$A$5:$A$369,$A22,'分类明细'!$B$5:$B$369,$B22,'分类明细'!$C$5:$C$369,"圣诞普通商品")</x:f>
        <x:v>1</x:v>
      </x:c>
      <x:c r="G22" s="25" t="n">
        <x:f>SUMIFS('分类明细'!$F$5:$F$369,'分类明细'!$A$5:$A$369,$A22,'分类明细'!$B$5:$B$369,$B22,'分类明细'!$C$5:$C$369,"圣诞灯饰")</x:f>
        <x:v>0</x:v>
      </x:c>
      <x:c r="H22" s="25" t="n">
        <x:f>SUMIFS('分类明细'!$F$5:$F$369,'分类明细'!$A$5:$A$369,$A22,'分类明细'!$B$5:$B$369,$B22,'分类明细'!$D$5:$D$369,"Ropelight 绳灯")</x:f>
        <x:v>0</x:v>
      </x:c>
      <x:c r="I22" s="24" t="str">
        <x:f>IF(AND(E22&gt;0,F22+G22&gt;0),"万圣节+圣诞混装",IF(E22&gt;0,"纯万圣节",IF(AND(F22&gt;0,G22&gt;0),"圣诞普通+灯饰",IF(G22&gt;0,"纯圣诞灯饰","纯圣诞普通"))))</x:f>
        <x:v>纯圣诞普通</x:v>
      </x:c>
      <x:c r="J22" s="26" t="str">
        <x:v>花材与枝叶 1箱</x:v>
      </x:c>
      <x:c r="K22" s="26" t="str">
        <x:v>Metallic Draping Spray 134cm Asst</x:v>
      </x:c>
      <x:c r="L22" s="26" t="str">
        <x:v>散货，不属于编号托盘</x:v>
      </x:c>
    </x:row>
    <x:row r="23" ht="42" customHeight="1">
      <x:c r="A23" s="24" t="str">
        <x:v>HB SOUTHPORT PARK</x:v>
      </x:c>
      <x:c r="B23" s="24" t="str">
        <x:v>17</x:v>
      </x:c>
      <x:c r="C23" s="25" t="n">
        <x:f>SUMIFS('分类明细'!$F$5:$F$369,'分类明细'!$A$5:$A$369,$A23,'分类明细'!$B$5:$B$369,$B23)</x:f>
        <x:v>94</x:v>
      </x:c>
      <x:c r="D23" s="25" t="n">
        <x:f>SUMIFS('分类明细'!$G$5:$G$369,'分类明细'!$A$5:$A$369,$A23,'分类明细'!$B$5:$B$369,$B23)</x:f>
        <x:v>2006</x:v>
      </x:c>
      <x:c r="E23" s="25" t="n">
        <x:f>SUMIFS('分类明细'!$F$5:$F$369,'分类明细'!$A$5:$A$369,$A23,'分类明细'!$B$5:$B$369,$B23,'分类明细'!$C$5:$C$369,"万圣节")</x:f>
        <x:v>0</x:v>
      </x:c>
      <x:c r="F23" s="25" t="n">
        <x:f>SUMIFS('分类明细'!$F$5:$F$369,'分类明细'!$A$5:$A$369,$A23,'分类明细'!$B$5:$B$369,$B23,'分类明细'!$C$5:$C$369,"圣诞普通商品")</x:f>
        <x:v>74</x:v>
      </x:c>
      <x:c r="G23" s="25" t="n">
        <x:f>SUMIFS('分类明细'!$F$5:$F$369,'分类明细'!$A$5:$A$369,$A23,'分类明细'!$B$5:$B$369,$B23,'分类明细'!$C$5:$C$369,"圣诞灯饰")</x:f>
        <x:v>20</x:v>
      </x:c>
      <x:c r="H23" s="25" t="n">
        <x:f>SUMIFS('分类明细'!$F$5:$F$369,'分类明细'!$A$5:$A$369,$A23,'分类明细'!$B$5:$B$369,$B23,'分类明细'!$D$5:$D$369,"Ropelight 绳灯")</x:f>
        <x:v>0</x:v>
      </x:c>
      <x:c r="I23" s="24" t="str">
        <x:f>IF(AND(E23&gt;0,F23+G23&gt;0),"万圣节+圣诞混装",IF(E23&gt;0,"纯万圣节",IF(AND(F23&gt;0,G23&gt;0),"圣诞普通+灯饰",IF(G23&gt;0,"纯圣诞灯饰","纯圣诞普通"))))</x:f>
        <x:v>圣诞普通+灯饰</x:v>
      </x:c>
      <x:c r="J23" s="26" t="str">
        <x:v>铃铛 15箱、花材与枝叶 13箱、桌面装饰 13箱、太阳能灯饰 13箱</x:v>
      </x:c>
      <x:c r="K23" s="26" t="str">
        <x:v>Tinsel Bell-Bulbs Hanger 30cm Asst；Poinsettia Glitter Clip Asst；Mini Star Topper 13cm Asst</x:v>
      </x:c>
      <x:c r="L23" s="26" t="str">
        <x:v>跨目录混装</x:v>
      </x:c>
    </x:row>
    <x:row r="24" ht="42" customHeight="1">
      <x:c r="A24" s="24" t="str">
        <x:v>HB SOUTHPORT PARK</x:v>
      </x:c>
      <x:c r="B24" s="24" t="str">
        <x:v>Loose</x:v>
      </x:c>
      <x:c r="C24" s="25" t="n">
        <x:f>SUMIFS('分类明细'!$F$5:$F$369,'分类明细'!$A$5:$A$369,$A24,'分类明细'!$B$5:$B$369,$B24)</x:f>
        <x:v>5</x:v>
      </x:c>
      <x:c r="D24" s="25" t="n">
        <x:f>SUMIFS('分类明细'!$G$5:$G$369,'分类明细'!$A$5:$A$369,$A24,'分类明细'!$B$5:$B$369,$B24)</x:f>
        <x:v>66</x:v>
      </x:c>
      <x:c r="E24" s="25" t="n">
        <x:f>SUMIFS('分类明细'!$F$5:$F$369,'分类明细'!$A$5:$A$369,$A24,'分类明细'!$B$5:$B$369,$B24,'分类明细'!$C$5:$C$369,"万圣节")</x:f>
        <x:v>0</x:v>
      </x:c>
      <x:c r="F24" s="25" t="n">
        <x:f>SUMIFS('分类明细'!$F$5:$F$369,'分类明细'!$A$5:$A$369,$A24,'分类明细'!$B$5:$B$369,$B24,'分类明细'!$C$5:$C$369,"圣诞普通商品")</x:f>
        <x:v>5</x:v>
      </x:c>
      <x:c r="G24" s="25" t="n">
        <x:f>SUMIFS('分类明细'!$F$5:$F$369,'分类明细'!$A$5:$A$369,$A24,'分类明细'!$B$5:$B$369,$B24,'分类明细'!$C$5:$C$369,"圣诞灯饰")</x:f>
        <x:v>0</x:v>
      </x:c>
      <x:c r="H24" s="25" t="n">
        <x:f>SUMIFS('分类明细'!$F$5:$F$369,'分类明细'!$A$5:$A$369,$A24,'分类明细'!$B$5:$B$369,$B24,'分类明细'!$D$5:$D$369,"Ropelight 绳灯")</x:f>
        <x:v>0</x:v>
      </x:c>
      <x:c r="I24" s="24" t="str">
        <x:f>IF(AND(E24&gt;0,F24+G24&gt;0),"万圣节+圣诞混装",IF(E24&gt;0,"纯万圣节",IF(AND(F24&gt;0,G24&gt;0),"圣诞普通+灯饰",IF(G24&gt;0,"纯圣诞灯饰","纯圣诞普通"))))</x:f>
        <x:v>纯圣诞普通</x:v>
      </x:c>
      <x:c r="J24" s="26" t="str">
        <x:v>墙面装饰 3箱、午夜蓝主题 1箱、林地丝绒主题 1箱</x:v>
      </x:c>
      <x:c r="K24" s="26" t="str">
        <x:v>Christmas Giant Selfie Frame；Honeycomb Lantern 13cm Asst；Santa Figurine Rich Burgundy 60cm</x:v>
      </x:c>
      <x:c r="L24" s="26" t="str">
        <x:v>散货，不属于编号托盘</x:v>
      </x:c>
    </x:row>
    <x:row r="25" ht="42" customHeight="1">
      <x:c r="A25" s="24" t="str">
        <x:v>HB SPRINGFIELD</x:v>
      </x:c>
      <x:c r="B25" s="24" t="str">
        <x:v>7</x:v>
      </x:c>
      <x:c r="C25" s="25" t="n">
        <x:f>SUMIFS('分类明细'!$F$5:$F$369,'分类明细'!$A$5:$A$369,$A25,'分类明细'!$B$5:$B$369,$B25)</x:f>
        <x:v>73</x:v>
      </x:c>
      <x:c r="D25" s="25" t="n">
        <x:f>SUMIFS('分类明细'!$G$5:$G$369,'分类明细'!$A$5:$A$369,$A25,'分类明细'!$B$5:$B$369,$B25)</x:f>
        <x:v>1332</x:v>
      </x:c>
      <x:c r="E25" s="25" t="n">
        <x:f>SUMIFS('分类明细'!$F$5:$F$369,'分类明细'!$A$5:$A$369,$A25,'分类明细'!$B$5:$B$369,$B25,'分类明细'!$C$5:$C$369,"万圣节")</x:f>
        <x:v>0</x:v>
      </x:c>
      <x:c r="F25" s="25" t="n">
        <x:f>SUMIFS('分类明细'!$F$5:$F$369,'分类明细'!$A$5:$A$369,$A25,'分类明细'!$B$5:$B$369,$B25,'分类明细'!$C$5:$C$369,"圣诞普通商品")</x:f>
        <x:v>53</x:v>
      </x:c>
      <x:c r="G25" s="25" t="n">
        <x:f>SUMIFS('分类明细'!$F$5:$F$369,'分类明细'!$A$5:$A$369,$A25,'分类明细'!$B$5:$B$369,$B25,'分类明细'!$C$5:$C$369,"圣诞灯饰")</x:f>
        <x:v>20</x:v>
      </x:c>
      <x:c r="H25" s="25" t="n">
        <x:f>SUMIFS('分类明细'!$F$5:$F$369,'分类明细'!$A$5:$A$369,$A25,'分类明细'!$B$5:$B$369,$B25,'分类明细'!$D$5:$D$369,"Ropelight 绳灯")</x:f>
        <x:v>0</x:v>
      </x:c>
      <x:c r="I25" s="24" t="str">
        <x:f>IF(AND(E25&gt;0,F25+G25&gt;0),"万圣节+圣诞混装",IF(E25&gt;0,"纯万圣节",IF(AND(F25&gt;0,G25&gt;0),"圣诞普通+灯饰",IF(G25&gt;0,"纯圣诞灯饰","纯圣诞普通"))))</x:f>
        <x:v>圣诞普通+灯饰</x:v>
      </x:c>
      <x:c r="J25" s="26" t="str">
        <x:v>铃铛 22箱、奢华传统主题 9箱、创意灯饰 7箱、Infinity/Neon 灯饰 7箱</x:v>
      </x:c>
      <x:c r="K25" s="26" t="str">
        <x:v>Triple Bells Hanger Berry Deco 40cm Asst；Bauble Shiny Honeycomb 15cm Asst；LED Garden Star Cascade 3.5m Multi Colour</x:v>
      </x:c>
      <x:c r="L25" s="26" t="str">
        <x:v>跨目录混装</x:v>
      </x:c>
    </x:row>
    <x:row r="26" ht="42" customHeight="1">
      <x:c r="A26" s="24" t="str">
        <x:v>HB SPRINGFIELD</x:v>
      </x:c>
      <x:c r="B26" s="24" t="str">
        <x:v>8</x:v>
      </x:c>
      <x:c r="C26" s="25" t="n">
        <x:f>SUMIFS('分类明细'!$F$5:$F$369,'分类明细'!$A$5:$A$369,$A26,'分类明细'!$B$5:$B$369,$B26)</x:f>
        <x:v>73</x:v>
      </x:c>
      <x:c r="D26" s="25" t="n">
        <x:f>SUMIFS('分类明细'!$G$5:$G$369,'分类明细'!$A$5:$A$369,$A26,'分类明细'!$B$5:$B$369,$B26)</x:f>
        <x:v>1428</x:v>
      </x:c>
      <x:c r="E26" s="25" t="n">
        <x:f>SUMIFS('分类明细'!$F$5:$F$369,'分类明细'!$A$5:$A$369,$A26,'分类明细'!$B$5:$B$369,$B26,'分类明细'!$C$5:$C$369,"万圣节")</x:f>
        <x:v>0</x:v>
      </x:c>
      <x:c r="F26" s="25" t="n">
        <x:f>SUMIFS('分类明细'!$F$5:$F$369,'分类明细'!$A$5:$A$369,$A26,'分类明细'!$B$5:$B$369,$B26,'分类明细'!$C$5:$C$369,"圣诞普通商品")</x:f>
        <x:v>47</x:v>
      </x:c>
      <x:c r="G26" s="25" t="n">
        <x:f>SUMIFS('分类明细'!$F$5:$F$369,'分类明细'!$A$5:$A$369,$A26,'分类明细'!$B$5:$B$369,$B26,'分类明细'!$C$5:$C$369,"圣诞灯饰")</x:f>
        <x:v>26</x:v>
      </x:c>
      <x:c r="H26" s="25" t="n">
        <x:f>SUMIFS('分类明细'!$F$5:$F$369,'分类明细'!$A$5:$A$369,$A26,'分类明细'!$B$5:$B$369,$B26,'分类明细'!$D$5:$D$369,"Ropelight 绳灯")</x:f>
        <x:v>0</x:v>
      </x:c>
      <x:c r="I26" s="24" t="str">
        <x:f>IF(AND(E26&gt;0,F26+G26&gt;0),"万圣节+圣诞混装",IF(E26&gt;0,"纯万圣节",IF(AND(F26&gt;0,G26&gt;0),"圣诞普通+灯饰",IF(G26&gt;0,"纯圣诞灯饰","纯圣诞普通"))))</x:f>
        <x:v>圣诞普通+灯饰</x:v>
      </x:c>
      <x:c r="J26" s="26" t="str">
        <x:v>太阳能灯饰 21箱、圣诞树挂饰 13箱、桌面装饰 13箱、花材与枝叶 5箱</x:v>
      </x:c>
      <x:c r="K26" s="26" t="str">
        <x:v>Solar Mini Candy Cane Path Lghts 8pk；Hanging Gold Leaf Velvet Bow Asst；Mini Star Topper 13cm Asst</x:v>
      </x:c>
      <x:c r="L26" s="26" t="str">
        <x:v>跨目录混装</x:v>
      </x:c>
    </x:row>
    <x:row r="27" ht="42" customHeight="1">
      <x:c r="A27" s="24" t="str">
        <x:v>HB SPRINGFIELD</x:v>
      </x:c>
      <x:c r="B27" s="24" t="str">
        <x:v>9</x:v>
      </x:c>
      <x:c r="C27" s="25" t="n">
        <x:f>SUMIFS('分类明细'!$F$5:$F$369,'分类明细'!$A$5:$A$369,$A27,'分类明细'!$B$5:$B$369,$B27)</x:f>
        <x:v>57</x:v>
      </x:c>
      <x:c r="D27" s="25" t="n">
        <x:f>SUMIFS('分类明细'!$G$5:$G$369,'分类明细'!$A$5:$A$369,$A27,'分类明细'!$B$5:$B$369,$B27)</x:f>
        <x:v>950</x:v>
      </x:c>
      <x:c r="E27" s="25" t="n">
        <x:f>SUMIFS('分类明细'!$F$5:$F$369,'分类明细'!$A$5:$A$369,$A27,'分类明细'!$B$5:$B$369,$B27,'分类明细'!$C$5:$C$369,"万圣节")</x:f>
        <x:v>0</x:v>
      </x:c>
      <x:c r="F27" s="25" t="n">
        <x:f>SUMIFS('分类明细'!$F$5:$F$369,'分类明细'!$A$5:$A$369,$A27,'分类明细'!$B$5:$B$369,$B27,'分类明细'!$C$5:$C$369,"圣诞普通商品")</x:f>
        <x:v>52</x:v>
      </x:c>
      <x:c r="G27" s="25" t="n">
        <x:f>SUMIFS('分类明细'!$F$5:$F$369,'分类明细'!$A$5:$A$369,$A27,'分类明细'!$B$5:$B$369,$B27,'分类明细'!$C$5:$C$369,"圣诞灯饰")</x:f>
        <x:v>5</x:v>
      </x:c>
      <x:c r="H27" s="25" t="n">
        <x:f>SUMIFS('分类明细'!$F$5:$F$369,'分类明细'!$A$5:$A$369,$A27,'分类明细'!$B$5:$B$369,$B27,'分类明细'!$D$5:$D$369,"Ropelight 绳灯")</x:f>
        <x:v>1</x:v>
      </x:c>
      <x:c r="I27" s="24" t="str">
        <x:f>IF(AND(E27&gt;0,F27+G27&gt;0),"万圣节+圣诞混装",IF(E27&gt;0,"纯万圣节",IF(AND(F27&gt;0,G27&gt;0),"圣诞普通+灯饰",IF(G27&gt;0,"纯圣诞灯饰","纯圣诞普通"))))</x:f>
        <x:v>圣诞普通+灯饰</x:v>
      </x:c>
      <x:c r="J27" s="26" t="str">
        <x:v>铃铛 24箱、墙面装饰 15箱、桌面装饰 4箱、基础 LED 灯串 3箱、Ropelight 1箱</x:v>
      </x:c>
      <x:c r="K27" s="26" t="str">
        <x:v>Mini Nutbells Door Hanger 20cm Asst；Christmas Giant Selfie Frame；Tree Topper Shiny Star 11cm Asst</x:v>
      </x:c>
      <x:c r="L27" s="26" t="str">
        <x:v>跨目录混装；含Ropelight</x:v>
      </x:c>
    </x:row>
    <x:row r="28" ht="42" customHeight="1">
      <x:c r="A28" s="24" t="str">
        <x:v>HB SPRINGFIELD</x:v>
      </x:c>
      <x:c r="B28" s="24" t="str">
        <x:v>10</x:v>
      </x:c>
      <x:c r="C28" s="25" t="n">
        <x:f>SUMIFS('分类明细'!$F$5:$F$369,'分类明细'!$A$5:$A$369,$A28,'分类明细'!$B$5:$B$369,$B28)</x:f>
        <x:v>41</x:v>
      </x:c>
      <x:c r="D28" s="25" t="n">
        <x:f>SUMIFS('分类明细'!$G$5:$G$369,'分类明细'!$A$5:$A$369,$A28,'分类明细'!$B$5:$B$369,$B28)</x:f>
        <x:v>416</x:v>
      </x:c>
      <x:c r="E28" s="25" t="n">
        <x:f>SUMIFS('分类明细'!$F$5:$F$369,'分类明细'!$A$5:$A$369,$A28,'分类明细'!$B$5:$B$369,$B28,'分类明细'!$C$5:$C$369,"万圣节")</x:f>
        <x:v>0</x:v>
      </x:c>
      <x:c r="F28" s="25" t="n">
        <x:f>SUMIFS('分类明细'!$F$5:$F$369,'分类明细'!$A$5:$A$369,$A28,'分类明细'!$B$5:$B$369,$B28,'分类明细'!$C$5:$C$369,"圣诞普通商品")</x:f>
        <x:v>22</x:v>
      </x:c>
      <x:c r="G28" s="25" t="n">
        <x:f>SUMIFS('分类明细'!$F$5:$F$369,'分类明细'!$A$5:$A$369,$A28,'分类明细'!$B$5:$B$369,$B28,'分类明细'!$C$5:$C$369,"圣诞灯饰")</x:f>
        <x:v>19</x:v>
      </x:c>
      <x:c r="H28" s="25" t="n">
        <x:f>SUMIFS('分类明细'!$F$5:$F$369,'分类明细'!$A$5:$A$369,$A28,'分类明细'!$B$5:$B$369,$B28,'分类明细'!$D$5:$D$369,"Ropelight 绳灯")</x:f>
        <x:v>7</x:v>
      </x:c>
      <x:c r="I28" s="24" t="str">
        <x:f>IF(AND(E28&gt;0,F28+G28&gt;0),"万圣节+圣诞混装",IF(E28&gt;0,"纯万圣节",IF(AND(F28&gt;0,G28&gt;0),"圣诞普通+灯饰",IF(G28&gt;0,"纯圣诞灯饰","纯圣诞普通"))))</x:f>
        <x:v>圣诞普通+灯饰</x:v>
      </x:c>
      <x:c r="J28" s="26" t="str">
        <x:v>铃铛 9箱、太阳能灯饰 7箱、Ropelight 绳灯 7箱、桌面装饰 4箱</x:v>
      </x:c>
      <x:c r="K28" s="26" t="str">
        <x:v>Hammered Bell with Deco 25cm Asst；Solar LED Reindeer White；Ropelight Tree PVC Lace Twinkle Asst</x:v>
      </x:c>
      <x:c r="L28" s="26" t="str">
        <x:v>跨目录混装；含Ropelight</x:v>
      </x:c>
    </x:row>
    <x:row r="29" ht="42" customHeight="1">
      <x:c r="A29" s="24" t="str">
        <x:v>HB SPRINGFIELD</x:v>
      </x:c>
      <x:c r="B29" s="24" t="str">
        <x:v>20</x:v>
      </x:c>
      <x:c r="C29" s="25" t="n">
        <x:f>SUMIFS('分类明细'!$F$5:$F$369,'分类明细'!$A$5:$A$369,$A29,'分类明细'!$B$5:$B$369,$B29)</x:f>
        <x:v>38</x:v>
      </x:c>
      <x:c r="D29" s="25" t="n">
        <x:f>SUMIFS('分类明细'!$G$5:$G$369,'分类明细'!$A$5:$A$369,$A29,'分类明细'!$B$5:$B$369,$B29)</x:f>
        <x:v>396</x:v>
      </x:c>
      <x:c r="E29" s="25" t="n">
        <x:f>SUMIFS('分类明细'!$F$5:$F$369,'分类明细'!$A$5:$A$369,$A29,'分类明细'!$B$5:$B$369,$B29,'分类明细'!$C$5:$C$369,"万圣节")</x:f>
        <x:v>0</x:v>
      </x:c>
      <x:c r="F29" s="25" t="n">
        <x:f>SUMIFS('分类明细'!$F$5:$F$369,'分类明细'!$A$5:$A$369,$A29,'分类明细'!$B$5:$B$369,$B29,'分类明细'!$C$5:$C$369,"圣诞普通商品")</x:f>
        <x:v>6</x:v>
      </x:c>
      <x:c r="G29" s="25" t="n">
        <x:f>SUMIFS('分类明细'!$F$5:$F$369,'分类明细'!$A$5:$A$369,$A29,'分类明细'!$B$5:$B$369,$B29,'分类明细'!$C$5:$C$369,"圣诞灯饰")</x:f>
        <x:v>32</x:v>
      </x:c>
      <x:c r="H29" s="25" t="n">
        <x:f>SUMIFS('分类明细'!$F$5:$F$369,'分类明细'!$A$5:$A$369,$A29,'分类明细'!$B$5:$B$369,$B29,'分类明细'!$D$5:$D$369,"Ropelight 绳灯")</x:f>
        <x:v>0</x:v>
      </x:c>
      <x:c r="I29" s="24" t="str">
        <x:f>IF(AND(E29&gt;0,F29+G29&gt;0),"万圣节+圣诞混装",IF(E29&gt;0,"纯万圣节",IF(AND(F29&gt;0,G29&gt;0),"圣诞普通+灯饰",IF(G29&gt;0,"纯圣诞灯饰","纯圣诞普通"))))</x:f>
        <x:v>圣诞普通+灯饰</x:v>
      </x:c>
      <x:c r="J29" s="26" t="str">
        <x:v>太阳能灯饰 26箱、创意灯饰 6箱、花材与枝叶 2箱、圣诞树挂饰 2箱</x:v>
      </x:c>
      <x:c r="K29" s="26" t="str">
        <x:v>Solar Character Path Stakes 6pk；Nativity Star Curtain Light Multi Col；Foliage Berry Hanger with Bow Asst</x:v>
      </x:c>
      <x:c r="L29" s="26" t="str">
        <x:v>跨目录混装</x:v>
      </x:c>
    </x:row>
    <x:row r="30" ht="42" customHeight="1">
      <x:c r="A30" s="24" t="str">
        <x:v>HB SPRINGFIELD</x:v>
      </x:c>
      <x:c r="B30" s="24" t="str">
        <x:v>Loose</x:v>
      </x:c>
      <x:c r="C30" s="25" t="n">
        <x:f>SUMIFS('分类明细'!$F$5:$F$369,'分类明细'!$A$5:$A$369,$A30,'分类明细'!$B$5:$B$369,$B30)</x:f>
        <x:v>3</x:v>
      </x:c>
      <x:c r="D30" s="25" t="n">
        <x:f>SUMIFS('分类明细'!$G$5:$G$369,'分类明细'!$A$5:$A$369,$A30,'分类明细'!$B$5:$B$369,$B30)</x:f>
        <x:v>60</x:v>
      </x:c>
      <x:c r="E30" s="25" t="n">
        <x:f>SUMIFS('分类明细'!$F$5:$F$369,'分类明细'!$A$5:$A$369,$A30,'分类明细'!$B$5:$B$369,$B30,'分类明细'!$C$5:$C$369,"万圣节")</x:f>
        <x:v>0</x:v>
      </x:c>
      <x:c r="F30" s="25" t="n">
        <x:f>SUMIFS('分类明细'!$F$5:$F$369,'分类明细'!$A$5:$A$369,$A30,'分类明细'!$B$5:$B$369,$B30,'分类明细'!$C$5:$C$369,"圣诞普通商品")</x:f>
        <x:v>3</x:v>
      </x:c>
      <x:c r="G30" s="25" t="n">
        <x:f>SUMIFS('分类明细'!$F$5:$F$369,'分类明细'!$A$5:$A$369,$A30,'分类明细'!$B$5:$B$369,$B30,'分类明细'!$C$5:$C$369,"圣诞灯饰")</x:f>
        <x:v>0</x:v>
      </x:c>
      <x:c r="H30" s="25" t="n">
        <x:f>SUMIFS('分类明细'!$F$5:$F$369,'分类明细'!$A$5:$A$369,$A30,'分类明细'!$B$5:$B$369,$B30,'分类明细'!$D$5:$D$369,"Ropelight 绳灯")</x:f>
        <x:v>0</x:v>
      </x:c>
      <x:c r="I30" s="24" t="str">
        <x:f>IF(AND(E30&gt;0,F30+G30&gt;0),"万圣节+圣诞混装",IF(E30&gt;0,"纯万圣节",IF(AND(F30&gt;0,G30&gt;0),"圣诞普通+灯饰",IF(G30&gt;0,"纯圣诞灯饰","纯圣诞普通"))))</x:f>
        <x:v>纯圣诞普通</x:v>
      </x:c>
      <x:c r="J30" s="26" t="str">
        <x:v>桌面装饰 2箱、蝴蝶结 1箱</x:v>
      </x:c>
      <x:c r="K30" s="26" t="str">
        <x:v>Glitter Wire Tree 20cm Asst；LED Tinsel Bow Gold</x:v>
      </x:c>
      <x:c r="L30" s="26" t="str">
        <x:v>散货，不属于编号托盘</x:v>
      </x:c>
    </x:row>
  </x:sheetData>
  <x:mergeCells>
    <x:mergeCell ref="A1:L1"/>
    <x:mergeCell ref="A2:L2"/>
  </x:mergeCells>
  <x:conditionalFormatting sqref="H5:H30">
    <x:cfRule type="cellIs" dxfId="0" priority="1" operator="greaterThan">
      <x:formula>0</x:formula>
    </x:cfRule>
  </x:conditionalFormatting>
  <x:conditionalFormatting sqref="I5:I30">
    <x:cfRule type="containsText" dxfId="1" priority="2" operator="containsText" text="混装"/>
  </x:conditionalFormatting>
  <x:pageMargins left="0.7" right="0.7" top="0.75" bottom="0.75" header="0.3" footer="0.3"/>
  <x:tableParts count="1">
    <x:tablePart xmlns:r="http://schemas.openxmlformats.org/officeDocument/2006/relationships" r:id="R0f2ea3445f1e4d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1.670000076293945" hidden="0" customWidth="1"/>
    <x:col min="3" max="3" width="10.220000267028809" hidden="0" customWidth="1"/>
    <x:col min="4" max="4" width="10.220000267028809" hidden="0" customWidth="1"/>
    <x:col min="5" max="5" width="10.220000267028809" hidden="0" customWidth="1"/>
    <x:col min="6" max="6" width="10.220000267028809" hidden="0" customWidth="1"/>
    <x:col min="7" max="7" width="10.220000267028809" hidden="0" customWidth="1"/>
    <x:col min="8" max="8" width="10.220000267028809" hidden="0" customWidth="1"/>
    <x:col min="9" max="9" width="15.5600004196167" hidden="0" customWidth="1"/>
    <x:col min="10" max="10" width="20" hidden="0" customWidth="1"/>
  </x:cols>
  <x:sheetData>
    <x:row r="1" ht="30" customHeight="1">
      <x:c r="A1" s="4" t="str">
        <x:v>V0007551 分店汇总</x:v>
      </x:c>
      <x:c r="B1" s="4" t="str">
        <x:v>V0007551 分店汇总</x:v>
      </x:c>
      <x:c r="C1" s="4" t="str">
        <x:v>V0007551 分店汇总</x:v>
      </x:c>
      <x:c r="D1" s="4" t="str">
        <x:v>V0007551 分店汇总</x:v>
      </x:c>
      <x:c r="E1" s="4" t="str">
        <x:v>V0007551 分店汇总</x:v>
      </x:c>
      <x:c r="F1" s="4" t="str">
        <x:v>V0007551 分店汇总</x:v>
      </x:c>
      <x:c r="G1" s="4" t="str">
        <x:v>V0007551 分店汇总</x:v>
      </x:c>
      <x:c r="H1" s="4" t="str">
        <x:v>V0007551 分店汇总</x:v>
      </x:c>
      <x:c r="I1" s="4" t="str">
        <x:v>V0007551 分店汇总</x:v>
      </x:c>
      <x:c r="J1" s="4" t="str">
        <x:v>V0007551 分店汇总</x:v>
      </x:c>
    </x:row>
    <x:row r="2" ht="30" customHeight="1">
      <x:c r="A2" s="8" t="str">
        <x:v>按分店汇总托盘与散货组、箱数、件数及三大目录分类；Ropelight 已单独列示。</x:v>
      </x:c>
      <x:c r="B2" s="8" t="str">
        <x:v>按分店汇总托盘与散货组、箱数、件数及三大目录分类；Ropelight 已单独列示。</x:v>
      </x:c>
      <x:c r="C2" s="8" t="str">
        <x:v>按分店汇总托盘与散货组、箱数、件数及三大目录分类；Ropelight 已单独列示。</x:v>
      </x:c>
      <x:c r="D2" s="8" t="str">
        <x:v>按分店汇总托盘与散货组、箱数、件数及三大目录分类；Ropelight 已单独列示。</x:v>
      </x:c>
      <x:c r="E2" s="8" t="str">
        <x:v>按分店汇总托盘与散货组、箱数、件数及三大目录分类；Ropelight 已单独列示。</x:v>
      </x:c>
      <x:c r="F2" s="8" t="str">
        <x:v>按分店汇总托盘与散货组、箱数、件数及三大目录分类；Ropelight 已单独列示。</x:v>
      </x:c>
      <x:c r="G2" s="8" t="str">
        <x:v>按分店汇总托盘与散货组、箱数、件数及三大目录分类；Ropelight 已单独列示。</x:v>
      </x:c>
      <x:c r="H2" s="8" t="str">
        <x:v>按分店汇总托盘与散货组、箱数、件数及三大目录分类；Ropelight 已单独列示。</x:v>
      </x:c>
      <x:c r="I2" s="8" t="str">
        <x:v>按分店汇总托盘与散货组、箱数、件数及三大目录分类；Ropelight 已单独列示。</x:v>
      </x:c>
      <x:c r="J2" s="8" t="str">
        <x:v>按分店汇总托盘与散货组、箱数、件数及三大目录分类；Ropelight 已单独列示。</x:v>
      </x:c>
    </x:row>
    <x:row r="4" ht="32" customHeight="1">
      <x:c r="A4" s="20" t="str">
        <x:v>分店</x:v>
      </x:c>
      <x:c r="B4" s="21" t="str">
        <x:v>托盘/散货组数</x:v>
      </x:c>
      <x:c r="C4" s="21" t="str">
        <x:v>总箱数</x:v>
      </x:c>
      <x:c r="D4" s="21" t="str">
        <x:v>总件数</x:v>
      </x:c>
      <x:c r="E4" s="27" t="str">
        <x:v>万圣节箱数</x:v>
      </x:c>
      <x:c r="F4" s="28" t="str">
        <x:v>圣诞普通箱数</x:v>
      </x:c>
      <x:c r="G4" s="29" t="str">
        <x:v>圣诞灯饰箱数</x:v>
      </x:c>
      <x:c r="H4" s="30" t="str">
        <x:v>Ropelight箱数</x:v>
      </x:c>
      <x:c r="I4" s="21" t="str">
        <x:v>主要货类</x:v>
      </x:c>
      <x:c r="J4" s="22" t="str">
        <x:v>混装提示</x:v>
      </x:c>
    </x:row>
    <x:row r="5">
      <x:c r="A5" t="str">
        <x:v>HB KAWANA</x:v>
      </x:c>
      <x:c r="B5" s="23" t="n">
        <x:f>COUNTIF('每店每托盘分类'!$A$5:$A$30,A5)</x:f>
        <x:v>6</x:v>
      </x:c>
      <x:c r="C5" s="23" t="n">
        <x:f>SUMIF('每店每托盘分类'!$A$5:$A$30,A5,'每店每托盘分类'!$C$5:$C$30)</x:f>
        <x:v>376</x:v>
      </x:c>
      <x:c r="D5" s="23" t="n">
        <x:f>SUMIF('每店每托盘分类'!$A$5:$A$30,A5,'每店每托盘分类'!$D$5:$D$30)</x:f>
        <x:v>6336</x:v>
      </x:c>
      <x:c r="E5" s="23" t="n">
        <x:f>SUMIF('每店每托盘分类'!$A$5:$A$30,A5,'每店每托盘分类'!$E$5:$E$30)</x:f>
        <x:v>191</x:v>
      </x:c>
      <x:c r="F5" s="23" t="n">
        <x:f>SUMIF('每店每托盘分类'!$A$5:$A$30,A5,'每店每托盘分类'!$F$5:$F$30)</x:f>
        <x:v>95</x:v>
      </x:c>
      <x:c r="G5" s="23" t="n">
        <x:f>SUMIF('每店每托盘分类'!$A$5:$A$30,A5,'每店每托盘分类'!$G$5:$G$30)</x:f>
        <x:v>90</x:v>
      </x:c>
      <x:c r="H5" s="23" t="n">
        <x:f>SUMIF('每店每托盘分类'!$A$5:$A$30,A5,'每店每托盘分类'!$H$5:$H$30)</x:f>
        <x:v>8</x:v>
      </x:c>
      <x:c r="I5" t="str">
        <x:f>IF(E5=MAX(E5:G5),"万圣节",IF(F5=MAX(E5:G5),"圣诞普通商品","圣诞灯饰"))</x:f>
        <x:v>万圣节</x:v>
      </x:c>
      <x:c r="J5" t="str">
        <x:f>IF(COUNTIFS('每店每托盘分类'!$A$5:$A$30,A5,'每店每托盘分类'!$I$5:$I$30,"万圣节+圣诞混装")&gt;0,"含万圣节+圣诞混装","")</x:f>
        <x:v>含万圣节+圣诞混装</x:v>
      </x:c>
    </x:row>
    <x:row r="6">
      <x:c r="A6" t="str">
        <x:v>HB KIPPA RING</x:v>
      </x:c>
      <x:c r="B6" s="23" t="n">
        <x:f>COUNTIF('每店每托盘分类'!$A$5:$A$30,A6)</x:f>
        <x:v>3</x:v>
      </x:c>
      <x:c r="C6" s="23" t="n">
        <x:f>SUMIF('每店每托盘分类'!$A$5:$A$30,A6,'每店每托盘分类'!$C$5:$C$30)</x:f>
        <x:v>213</x:v>
      </x:c>
      <x:c r="D6" s="23" t="n">
        <x:f>SUMIF('每店每托盘分类'!$A$5:$A$30,A6,'每店每托盘分类'!$D$5:$D$30)</x:f>
        <x:v>3574</x:v>
      </x:c>
      <x:c r="E6" s="23" t="n">
        <x:f>SUMIF('每店每托盘分类'!$A$5:$A$30,A6,'每店每托盘分类'!$E$5:$E$30)</x:f>
        <x:v>129</x:v>
      </x:c>
      <x:c r="F6" s="23" t="n">
        <x:f>SUMIF('每店每托盘分类'!$A$5:$A$30,A6,'每店每托盘分类'!$F$5:$F$30)</x:f>
        <x:v>54</x:v>
      </x:c>
      <x:c r="G6" s="23" t="n">
        <x:f>SUMIF('每店每托盘分类'!$A$5:$A$30,A6,'每店每托盘分类'!$G$5:$G$30)</x:f>
        <x:v>30</x:v>
      </x:c>
      <x:c r="H6" s="23" t="n">
        <x:f>SUMIF('每店每托盘分类'!$A$5:$A$30,A6,'每店每托盘分类'!$H$5:$H$30)</x:f>
        <x:v>1</x:v>
      </x:c>
      <x:c r="I6" t="str">
        <x:f>IF(E6=MAX(E6:G6),"万圣节",IF(F6=MAX(E6:G6),"圣诞普通商品","圣诞灯饰"))</x:f>
        <x:v>万圣节</x:v>
      </x:c>
      <x:c r="J6" t="str">
        <x:f>IF(COUNTIFS('每店每托盘分类'!$A$5:$A$30,A6,'每店每托盘分类'!$I$5:$I$30,"万圣节+圣诞混装")&gt;0,"含万圣节+圣诞混装","")</x:f>
      </x:c>
    </x:row>
    <x:row r="7">
      <x:c r="A7" t="str">
        <x:v>HB ORION</x:v>
      </x:c>
      <x:c r="B7" s="23" t="n">
        <x:f>COUNTIF('每店每托盘分类'!$A$5:$A$30,A7)</x:f>
        <x:v>7</x:v>
      </x:c>
      <x:c r="C7" s="23" t="n">
        <x:f>SUMIF('每店每托盘分类'!$A$5:$A$30,A7,'每店每托盘分类'!$C$5:$C$30)</x:f>
        <x:v>631</x:v>
      </x:c>
      <x:c r="D7" s="23" t="n">
        <x:f>SUMIF('每店每托盘分类'!$A$5:$A$30,A7,'每店每托盘分类'!$D$5:$D$30)</x:f>
        <x:v>12282</x:v>
      </x:c>
      <x:c r="E7" s="23" t="n">
        <x:f>SUMIF('每店每托盘分类'!$A$5:$A$30,A7,'每店每托盘分类'!$E$5:$E$30)</x:f>
        <x:v>451</x:v>
      </x:c>
      <x:c r="F7" s="23" t="n">
        <x:f>SUMIF('每店每托盘分类'!$A$5:$A$30,A7,'每店每托盘分类'!$F$5:$F$30)</x:f>
        <x:v>123</x:v>
      </x:c>
      <x:c r="G7" s="23" t="n">
        <x:f>SUMIF('每店每托盘分类'!$A$5:$A$30,A7,'每店每托盘分类'!$G$5:$G$30)</x:f>
        <x:v>57</x:v>
      </x:c>
      <x:c r="H7" s="23" t="n">
        <x:f>SUMIF('每店每托盘分类'!$A$5:$A$30,A7,'每店每托盘分类'!$H$5:$H$30)</x:f>
        <x:v>3</x:v>
      </x:c>
      <x:c r="I7" t="str">
        <x:f>IF(E7=MAX(E7:G7),"万圣节",IF(F7=MAX(E7:G7),"圣诞普通商品","圣诞灯饰"))</x:f>
        <x:v>万圣节</x:v>
      </x:c>
      <x:c r="J7" t="str">
        <x:f>IF(COUNTIFS('每店每托盘分类'!$A$5:$A$30,A7,'每店每托盘分类'!$I$5:$I$30,"万圣节+圣诞混装")&gt;0,"含万圣节+圣诞混装","")</x:f>
        <x:v>含万圣节+圣诞混装</x:v>
      </x:c>
    </x:row>
    <x:row r="8">
      <x:c r="A8" t="str">
        <x:v>HB ROBINSON ROAD</x:v>
      </x:c>
      <x:c r="B8" s="23" t="n">
        <x:f>COUNTIF('每店每托盘分类'!$A$5:$A$30,A8)</x:f>
        <x:v>2</x:v>
      </x:c>
      <x:c r="C8" s="23" t="n">
        <x:f>SUMIF('每店每托盘分类'!$A$5:$A$30,A8,'每店每托盘分类'!$C$5:$C$30)</x:f>
        <x:v>32</x:v>
      </x:c>
      <x:c r="D8" s="23" t="n">
        <x:f>SUMIF('每店每托盘分类'!$A$5:$A$30,A8,'每店每托盘分类'!$D$5:$D$30)</x:f>
        <x:v>822</x:v>
      </x:c>
      <x:c r="E8" s="23" t="n">
        <x:f>SUMIF('每店每托盘分类'!$A$5:$A$30,A8,'每店每托盘分类'!$E$5:$E$30)</x:f>
        <x:v>0</x:v>
      </x:c>
      <x:c r="F8" s="23" t="n">
        <x:f>SUMIF('每店每托盘分类'!$A$5:$A$30,A8,'每店每托盘分类'!$F$5:$F$30)</x:f>
        <x:v>28</x:v>
      </x:c>
      <x:c r="G8" s="23" t="n">
        <x:f>SUMIF('每店每托盘分类'!$A$5:$A$30,A8,'每店每托盘分类'!$G$5:$G$30)</x:f>
        <x:v>4</x:v>
      </x:c>
      <x:c r="H8" s="23" t="n">
        <x:f>SUMIF('每店每托盘分类'!$A$5:$A$30,A8,'每店每托盘分类'!$H$5:$H$30)</x:f>
        <x:v>0</x:v>
      </x:c>
      <x:c r="I8" t="str">
        <x:f>IF(E8=MAX(E8:G8),"万圣节",IF(F8=MAX(E8:G8),"圣诞普通商品","圣诞灯饰"))</x:f>
        <x:v>圣诞普通商品</x:v>
      </x:c>
      <x:c r="J8" t="str">
        <x:f>IF(COUNTIFS('每店每托盘分类'!$A$5:$A$30,A8,'每店每托盘分类'!$I$5:$I$30,"万圣节+圣诞混装")&gt;0,"含万圣节+圣诞混装","")</x:f>
      </x:c>
    </x:row>
    <x:row r="9">
      <x:c r="A9" t="str">
        <x:v>HB SOUTHPORT PARK</x:v>
      </x:c>
      <x:c r="B9" s="23" t="n">
        <x:f>COUNTIF('每店每托盘分类'!$A$5:$A$30,A9)</x:f>
        <x:v>2</x:v>
      </x:c>
      <x:c r="C9" s="23" t="n">
        <x:f>SUMIF('每店每托盘分类'!$A$5:$A$30,A9,'每店每托盘分类'!$C$5:$C$30)</x:f>
        <x:v>99</x:v>
      </x:c>
      <x:c r="D9" s="23" t="n">
        <x:f>SUMIF('每店每托盘分类'!$A$5:$A$30,A9,'每店每托盘分类'!$D$5:$D$30)</x:f>
        <x:v>2072</x:v>
      </x:c>
      <x:c r="E9" s="23" t="n">
        <x:f>SUMIF('每店每托盘分类'!$A$5:$A$30,A9,'每店每托盘分类'!$E$5:$E$30)</x:f>
        <x:v>0</x:v>
      </x:c>
      <x:c r="F9" s="23" t="n">
        <x:f>SUMIF('每店每托盘分类'!$A$5:$A$30,A9,'每店每托盘分类'!$F$5:$F$30)</x:f>
        <x:v>79</x:v>
      </x:c>
      <x:c r="G9" s="23" t="n">
        <x:f>SUMIF('每店每托盘分类'!$A$5:$A$30,A9,'每店每托盘分类'!$G$5:$G$30)</x:f>
        <x:v>20</x:v>
      </x:c>
      <x:c r="H9" s="23" t="n">
        <x:f>SUMIF('每店每托盘分类'!$A$5:$A$30,A9,'每店每托盘分类'!$H$5:$H$30)</x:f>
        <x:v>0</x:v>
      </x:c>
      <x:c r="I9" t="str">
        <x:f>IF(E9=MAX(E9:G9),"万圣节",IF(F9=MAX(E9:G9),"圣诞普通商品","圣诞灯饰"))</x:f>
        <x:v>圣诞普通商品</x:v>
      </x:c>
      <x:c r="J9" t="str">
        <x:f>IF(COUNTIFS('每店每托盘分类'!$A$5:$A$30,A9,'每店每托盘分类'!$I$5:$I$30,"万圣节+圣诞混装")&gt;0,"含万圣节+圣诞混装","")</x:f>
      </x:c>
    </x:row>
    <x:row r="10">
      <x:c r="A10" t="str">
        <x:v>HB SPRINGFIELD</x:v>
      </x:c>
      <x:c r="B10" s="23" t="n">
        <x:f>COUNTIF('每店每托盘分类'!$A$5:$A$30,A10)</x:f>
        <x:v>6</x:v>
      </x:c>
      <x:c r="C10" s="23" t="n">
        <x:f>SUMIF('每店每托盘分类'!$A$5:$A$30,A10,'每店每托盘分类'!$C$5:$C$30)</x:f>
        <x:v>285</x:v>
      </x:c>
      <x:c r="D10" s="23" t="n">
        <x:f>SUMIF('每店每托盘分类'!$A$5:$A$30,A10,'每店每托盘分类'!$D$5:$D$30)</x:f>
        <x:v>4582</x:v>
      </x:c>
      <x:c r="E10" s="23" t="n">
        <x:f>SUMIF('每店每托盘分类'!$A$5:$A$30,A10,'每店每托盘分类'!$E$5:$E$30)</x:f>
        <x:v>0</x:v>
      </x:c>
      <x:c r="F10" s="23" t="n">
        <x:f>SUMIF('每店每托盘分类'!$A$5:$A$30,A10,'每店每托盘分类'!$F$5:$F$30)</x:f>
        <x:v>183</x:v>
      </x:c>
      <x:c r="G10" s="23" t="n">
        <x:f>SUMIF('每店每托盘分类'!$A$5:$A$30,A10,'每店每托盘分类'!$G$5:$G$30)</x:f>
        <x:v>102</x:v>
      </x:c>
      <x:c r="H10" s="23" t="n">
        <x:f>SUMIF('每店每托盘分类'!$A$5:$A$30,A10,'每店每托盘分类'!$H$5:$H$30)</x:f>
        <x:v>8</x:v>
      </x:c>
      <x:c r="I10" t="str">
        <x:f>IF(E10=MAX(E10:G10),"万圣节",IF(F10=MAX(E10:G10),"圣诞普通商品","圣诞灯饰"))</x:f>
        <x:v>圣诞普通商品</x:v>
      </x:c>
      <x:c r="J10" t="str">
        <x:f>IF(COUNTIFS('每店每托盘分类'!$A$5:$A$30,A10,'每店每托盘分类'!$I$5:$I$30,"万圣节+圣诞混装")&gt;0,"含万圣节+圣诞混装","")</x:f>
      </x:c>
    </x:row>
    <x:row r="11">
      <x:c r="A11" s="33" t="str">
        <x:v>合计</x:v>
      </x:c>
      <x:c r="B11" s="34" t="n">
        <x:f>SUM(B5:B10)</x:f>
        <x:v>26</x:v>
      </x:c>
      <x:c r="C11" s="34" t="n">
        <x:f>SUM(C5:C10)</x:f>
        <x:v>1636</x:v>
      </x:c>
      <x:c r="D11" s="34" t="n">
        <x:f>SUM(D5:D10)</x:f>
        <x:v>29668</x:v>
      </x:c>
      <x:c r="E11" s="34" t="n">
        <x:f>SUM(E5:E10)</x:f>
        <x:v>771</x:v>
      </x:c>
      <x:c r="F11" s="34" t="n">
        <x:f>SUM(F5:F10)</x:f>
        <x:v>562</x:v>
      </x:c>
      <x:c r="G11" s="34" t="n">
        <x:f>SUM(G5:G10)</x:f>
        <x:v>303</x:v>
      </x:c>
      <x:c r="H11" s="34" t="n">
        <x:f>SUM(H5:H10)</x:f>
        <x:v>20</x:v>
      </x:c>
      <x:c r="I11" s="33" t="str"/>
      <x:c r="J11" s="33" t="str"/>
    </x:row>
  </x:sheetData>
  <x:mergeCells>
    <x:mergeCell ref="A1:J1"/>
    <x:mergeCell ref="A2:J2"/>
  </x:mergeCells>
  <x:conditionalFormatting sqref="H5:H10">
    <x:cfRule type="cellIs" dxfId="2" priority="1" operator="greaterThan">
      <x:formula>0</x:formula>
    </x:cfRule>
  </x:conditionalFormatting>
  <x:conditionalFormatting sqref="J5:J10">
    <x:cfRule type="containsText" dxfId="3" priority="2" operator="containsText" text="混装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8" hidden="0" customWidth="1"/>
    <x:col min="3" max="3" width="13.890000343322754" hidden="0" customWidth="1"/>
    <x:col min="4" max="4" width="18.889999389648438" hidden="0" customWidth="1"/>
    <x:col min="5" max="5" width="8.670000076293945" hidden="0" customWidth="1"/>
    <x:col min="6" max="6" width="8.670000076293945" hidden="0" customWidth="1"/>
    <x:col min="7" max="7" width="8.670000076293945" hidden="0" customWidth="1"/>
    <x:col min="8" max="8" width="40" hidden="0" customWidth="1"/>
    <x:col min="9" max="9" width="22.780000686645508" hidden="0" customWidth="1"/>
    <x:col min="10" max="10" width="14.4399995803833" hidden="0" customWidth="1"/>
  </x:cols>
  <x:sheetData>
    <x:row r="1" ht="30" customHeight="1">
      <x:c r="A1" s="4" t="str">
        <x:v>V0007551 商品分类明细</x:v>
      </x:c>
      <x:c r="B1" s="4" t="str">
        <x:v>V0007551 商品分类明细</x:v>
      </x:c>
      <x:c r="C1" s="4" t="str">
        <x:v>V0007551 商品分类明细</x:v>
      </x:c>
      <x:c r="D1" s="4" t="str">
        <x:v>V0007551 商品分类明细</x:v>
      </x:c>
      <x:c r="E1" s="4" t="str">
        <x:v>V0007551 商品分类明细</x:v>
      </x:c>
      <x:c r="F1" s="4" t="str">
        <x:v>V0007551 商品分类明细</x:v>
      </x:c>
      <x:c r="G1" s="4" t="str">
        <x:v>V0007551 商品分类明细</x:v>
      </x:c>
      <x:c r="H1" s="4" t="str">
        <x:v>V0007551 商品分类明细</x:v>
      </x:c>
      <x:c r="I1" s="4" t="str">
        <x:v>V0007551 商品分类明细</x:v>
      </x:c>
      <x:c r="J1" s="4" t="str">
        <x:v>V0007551 商品分类明细</x:v>
      </x:c>
    </x:row>
    <x:row r="2" ht="30" customHeight="1">
      <x:c r="A2" s="8" t="str">
        <x:v>按三份 2026 目录中的 SKU 对应分类；服装尺码后缀按基础 SKU 匹配。此表是汇总公式的数据源。</x:v>
      </x:c>
      <x:c r="B2" s="8" t="str">
        <x:v>按三份 2026 目录中的 SKU 对应分类；服装尺码后缀按基础 SKU 匹配。此表是汇总公式的数据源。</x:v>
      </x:c>
      <x:c r="C2" s="8" t="str">
        <x:v>按三份 2026 目录中的 SKU 对应分类；服装尺码后缀按基础 SKU 匹配。此表是汇总公式的数据源。</x:v>
      </x:c>
      <x:c r="D2" s="8" t="str">
        <x:v>按三份 2026 目录中的 SKU 对应分类；服装尺码后缀按基础 SKU 匹配。此表是汇总公式的数据源。</x:v>
      </x:c>
      <x:c r="E2" s="8" t="str">
        <x:v>按三份 2026 目录中的 SKU 对应分类；服装尺码后缀按基础 SKU 匹配。此表是汇总公式的数据源。</x:v>
      </x:c>
      <x:c r="F2" s="8" t="str">
        <x:v>按三份 2026 目录中的 SKU 对应分类；服装尺码后缀按基础 SKU 匹配。此表是汇总公式的数据源。</x:v>
      </x:c>
      <x:c r="G2" s="8" t="str">
        <x:v>按三份 2026 目录中的 SKU 对应分类；服装尺码后缀按基础 SKU 匹配。此表是汇总公式的数据源。</x:v>
      </x:c>
      <x:c r="H2" s="8" t="str">
        <x:v>按三份 2026 目录中的 SKU 对应分类；服装尺码后缀按基础 SKU 匹配。此表是汇总公式的数据源。</x:v>
      </x:c>
      <x:c r="I2" s="8" t="str">
        <x:v>按三份 2026 目录中的 SKU 对应分类；服装尺码后缀按基础 SKU 匹配。此表是汇总公式的数据源。</x:v>
      </x:c>
      <x:c r="J2" s="8" t="str">
        <x:v>按三份 2026 目录中的 SKU 对应分类；服装尺码后缀按基础 SKU 匹配。此表是汇总公式的数据源。</x:v>
      </x:c>
    </x:row>
    <x:row r="4" ht="32" customHeight="1">
      <x:c r="A4" s="20" t="str">
        <x:v>分店</x:v>
      </x:c>
      <x:c r="B4" s="21" t="str">
        <x:v>托盘</x:v>
      </x:c>
      <x:c r="C4" s="21" t="str">
        <x:v>目录大类</x:v>
      </x:c>
      <x:c r="D4" s="21" t="str">
        <x:v>目录子类</x:v>
      </x:c>
      <x:c r="E4" s="21" t="str">
        <x:v>明细行数</x:v>
      </x:c>
      <x:c r="F4" s="21" t="str">
        <x:v>箱数</x:v>
      </x:c>
      <x:c r="G4" s="21" t="str">
        <x:v>件数</x:v>
      </x:c>
      <x:c r="H4" s="21" t="str">
        <x:v>代表商品</x:v>
      </x:c>
      <x:c r="I4" s="21" t="str">
        <x:v>分类依据</x:v>
      </x:c>
      <x:c r="J4" s="22" t="str">
        <x:v>匹配方式</x:v>
      </x:c>
    </x:row>
    <x:row r="5">
      <x:c r="A5" s="24" t="str">
        <x:v>HB KAWANA</x:v>
      </x:c>
      <x:c r="B5" s="24" t="str">
        <x:v>5</x:v>
      </x:c>
      <x:c r="C5" s="24" t="str">
        <x:v>万圣节</x:v>
      </x:c>
      <x:c r="D5" s="24" t="str">
        <x:v>万圣节装饰</x:v>
      </x:c>
      <x:c r="E5" s="25" t="n">
        <x:v>23</x:v>
      </x:c>
      <x:c r="F5" s="25" t="n">
        <x:v>27</x:v>
      </x:c>
      <x:c r="G5" s="25" t="n">
        <x:v>618</x:v>
      </x:c>
      <x:c r="H5" s="26" t="str">
        <x:v>Tinsel Laser Mix 2m Asst；Bloody Gel Window Clings Asst；Warning Fright Tapes 3m 3pk Asst</x:v>
      </x:c>
      <x:c r="I5" s="26" t="str">
        <x:v>Halloween Catalogue 2026</x:v>
      </x:c>
      <x:c r="J5" s="26" t="str">
        <x:v>SKU精确匹配</x:v>
      </x:c>
    </x:row>
    <x:row r="6">
      <x:c r="A6" s="24" t="str">
        <x:v>HB KAWANA</x:v>
      </x:c>
      <x:c r="B6" s="24" t="str">
        <x:v>5</x:v>
      </x:c>
      <x:c r="C6" s="24" t="str">
        <x:v>万圣节</x:v>
      </x:c>
      <x:c r="D6" s="24" t="str">
        <x:v>通用服装</x:v>
      </x:c>
      <x:c r="E6" s="25" t="n">
        <x:v>16</x:v>
      </x:c>
      <x:c r="F6" s="25" t="n">
        <x:v>16</x:v>
      </x:c>
      <x:c r="G6" s="25" t="n">
        <x:v>51</x:v>
      </x:c>
      <x:c r="H6" s="26" t="str">
        <x:v>Costume Blue Frost Space Explorer Skeleton Kids；Costume Pumpkin Toddler；Costume Spider Queen Kids</x:v>
      </x:c>
      <x:c r="I6" s="26" t="str">
        <x:v>Halloween Catalogue 2026</x:v>
      </x:c>
      <x:c r="J6" s="26" t="str">
        <x:v>SKU精确匹配</x:v>
      </x:c>
    </x:row>
    <x:row r="7">
      <x:c r="A7" s="24" t="str">
        <x:v>HB KAWANA</x:v>
      </x:c>
      <x:c r="B7" s="24" t="str">
        <x:v>5</x:v>
      </x:c>
      <x:c r="C7" s="24" t="str">
        <x:v>万圣节</x:v>
      </x:c>
      <x:c r="D7" s="24" t="str">
        <x:v>特效与化妆</x:v>
      </x:c>
      <x:c r="E7" s="25" t="n">
        <x:v>9</x:v>
      </x:c>
      <x:c r="F7" s="25" t="n">
        <x:v>14</x:v>
      </x:c>
      <x:c r="G7" s="25" t="n">
        <x:v>540</x:v>
      </x:c>
      <x:c r="H7" s="26" t="str">
        <x:v>Face Paint Asst；Fake Blood 14mL；Gel Blood 30mL</x:v>
      </x:c>
      <x:c r="I7" s="26" t="str">
        <x:v>Halloween Catalogue 2026</x:v>
      </x:c>
      <x:c r="J7" s="26" t="str">
        <x:v>SKU精确匹配</x:v>
      </x:c>
    </x:row>
    <x:row r="8">
      <x:c r="A8" s="24" t="str">
        <x:v>HB KAWANA</x:v>
      </x:c>
      <x:c r="B8" s="24" t="str">
        <x:v>5</x:v>
      </x:c>
      <x:c r="C8" s="24" t="str">
        <x:v>万圣节</x:v>
      </x:c>
      <x:c r="D8" s="24" t="str">
        <x:v>装扮与配饰</x:v>
      </x:c>
      <x:c r="E8" s="25" t="n">
        <x:v>9</x:v>
      </x:c>
      <x:c r="F8" s="25" t="n">
        <x:v>9</x:v>
      </x:c>
      <x:c r="G8" s="25" t="n">
        <x:v>234</x:v>
      </x:c>
      <x:c r="H8" s="26" t="str">
        <x:v>Bloody Weapons Earrings Asst；Spooktacular Earrings Asst；Mobster Necklace 40cm Asst</x:v>
      </x:c>
      <x:c r="I8" s="26" t="str">
        <x:v>Halloween Catalogue 2026</x:v>
      </x:c>
      <x:c r="J8" s="26" t="str">
        <x:v>SKU精确匹配</x:v>
      </x:c>
    </x:row>
    <x:row r="9">
      <x:c r="A9" s="24" t="str">
        <x:v>HB KAWANA</x:v>
      </x:c>
      <x:c r="B9" s="24" t="str">
        <x:v>5</x:v>
      </x:c>
      <x:c r="C9" s="24" t="str">
        <x:v>万圣节</x:v>
      </x:c>
      <x:c r="D9" s="24" t="str">
        <x:v>悬挂/站立装饰</x:v>
      </x:c>
      <x:c r="E9" s="25" t="n">
        <x:v>7</x:v>
      </x:c>
      <x:c r="F9" s="25" t="n">
        <x:v>7</x:v>
      </x:c>
      <x:c r="G9" s="25" t="n">
        <x:v>96</x:v>
      </x:c>
      <x:c r="H9" s="26" t="str">
        <x:v>Hanging Horror Figures 60cm；Hanging Haunted Nun 50cm；Hanging Bride and Groom Skeleton 1m Asst</x:v>
      </x:c>
      <x:c r="I9" s="26" t="str">
        <x:v>Halloween Catalogue 2026</x:v>
      </x:c>
      <x:c r="J9" s="26" t="str">
        <x:v>SKU精确匹配</x:v>
      </x:c>
    </x:row>
    <x:row r="10">
      <x:c r="A10" s="24" t="str">
        <x:v>HB KAWANA</x:v>
      </x:c>
      <x:c r="B10" s="24" t="str">
        <x:v>5</x:v>
      </x:c>
      <x:c r="C10" s="24" t="str">
        <x:v>万圣节</x:v>
      </x:c>
      <x:c r="D10" s="24" t="str">
        <x:v>吸血鬼</x:v>
      </x:c>
      <x:c r="E10" s="25" t="n">
        <x:v>7</x:v>
      </x:c>
      <x:c r="F10" s="25" t="n">
        <x:v>7</x:v>
      </x:c>
      <x:c r="G10" s="25" t="n">
        <x:v>93</x:v>
      </x:c>
      <x:c r="H10" s="26" t="str">
        <x:v>Vampire G.I.D Teeth 6cm 10pk；Blood and Vampire Teeth Asst；Vampire Cape Kids 75cm</x:v>
      </x:c>
      <x:c r="I10" s="26" t="str">
        <x:v>Halloween Catalogue 2026</x:v>
      </x:c>
      <x:c r="J10" s="26" t="str">
        <x:v>SKU精确匹配</x:v>
      </x:c>
    </x:row>
    <x:row r="11">
      <x:c r="A11" s="24" t="str">
        <x:v>HB KAWANA</x:v>
      </x:c>
      <x:c r="B11" s="24" t="str">
        <x:v>5</x:v>
      </x:c>
      <x:c r="C11" s="24" t="str">
        <x:v>万圣节</x:v>
      </x:c>
      <x:c r="D11" s="24" t="str">
        <x:v>邪恶恐怖</x:v>
      </x:c>
      <x:c r="E11" s="25" t="n">
        <x:v>6</x:v>
      </x:c>
      <x:c r="F11" s="25" t="n">
        <x:v>7</x:v>
      </x:c>
      <x:c r="G11" s="25" t="n">
        <x:v>63</x:v>
      </x:c>
      <x:c r="H11" s="26" t="str">
        <x:v>Demon Mask；Costume Killer Doll Kids；Costume Demon Adults</x:v>
      </x:c>
      <x:c r="I11" s="26" t="str">
        <x:v>Halloween Catalogue 2026</x:v>
      </x:c>
      <x:c r="J11" s="26" t="str">
        <x:v>SKU精确匹配</x:v>
      </x:c>
    </x:row>
    <x:row r="12">
      <x:c r="A12" s="24" t="str">
        <x:v>HB KAWANA</x:v>
      </x:c>
      <x:c r="B12" s="24" t="str">
        <x:v>5</x:v>
      </x:c>
      <x:c r="C12" s="24" t="str">
        <x:v>万圣节</x:v>
      </x:c>
      <x:c r="D12" s="24" t="str">
        <x:v>不给糖就捣蛋与派对</x:v>
      </x:c>
      <x:c r="E12" s="25" t="n">
        <x:v>5</x:v>
      </x:c>
      <x:c r="F12" s="25" t="n">
        <x:v>6</x:v>
      </x:c>
      <x:c r="G12" s="25" t="n">
        <x:v>264</x:v>
      </x:c>
      <x:c r="H12" s="26" t="str">
        <x:v>Trick Or Treat Bucket With Handle 15cm Asst；Halloween Paper Plate 23cm 6pk Asst；Halloween Napkins 20pk Asst</x:v>
      </x:c>
      <x:c r="I12" s="26" t="str">
        <x:v>Halloween Catalogue 2026</x:v>
      </x:c>
      <x:c r="J12" s="26" t="str">
        <x:v>SKU精确匹配</x:v>
      </x:c>
    </x:row>
    <x:row r="13">
      <x:c r="A13" s="24" t="str">
        <x:v>HB KAWANA</x:v>
      </x:c>
      <x:c r="B13" s="24" t="str">
        <x:v>5</x:v>
      </x:c>
      <x:c r="C13" s="24" t="str">
        <x:v>万圣节</x:v>
      </x:c>
      <x:c r="D13" s="24" t="str">
        <x:v>武器道具</x:v>
      </x:c>
      <x:c r="E13" s="25" t="n">
        <x:v>5</x:v>
      </x:c>
      <x:c r="F13" s="25" t="n">
        <x:v>6</x:v>
      </x:c>
      <x:c r="G13" s="25" t="n">
        <x:v>144</x:v>
      </x:c>
      <x:c r="H13" s="26" t="str">
        <x:v>Bloody Dagger 33cm；Bloody Machete 67cm；Retractable Knife 25.5cm</x:v>
      </x:c>
      <x:c r="I13" s="26" t="str">
        <x:v>Halloween Catalogue 2026</x:v>
      </x:c>
      <x:c r="J13" s="26" t="str">
        <x:v>SKU精确匹配</x:v>
      </x:c>
    </x:row>
    <x:row r="14">
      <x:c r="A14" s="24" t="str">
        <x:v>HB KAWANA</x:v>
      </x:c>
      <x:c r="B14" s="24" t="str">
        <x:v>5</x:v>
      </x:c>
      <x:c r="C14" s="24" t="str">
        <x:v>万圣节</x:v>
      </x:c>
      <x:c r="D14" s="24" t="str">
        <x:v>骷髅与庭院装饰</x:v>
      </x:c>
      <x:c r="E14" s="25" t="n">
        <x:v>5</x:v>
      </x:c>
      <x:c r="F14" s="25" t="n">
        <x:v>5</x:v>
      </x:c>
      <x:c r="G14" s="25" t="n">
        <x:v>90</x:v>
      </x:c>
      <x:c r="H14" s="26" t="str">
        <x:v>Bony Hand Stake 30cm Asst；Zombie Warning Sign Stake 58cm Asst；Gravestone Stake 40cm Asst</x:v>
      </x:c>
      <x:c r="I14" s="26" t="str">
        <x:v>Halloween Catalogue 2026</x:v>
      </x:c>
      <x:c r="J14" s="26" t="str">
        <x:v>SKU精确匹配</x:v>
      </x:c>
    </x:row>
    <x:row r="15">
      <x:c r="A15" s="24" t="str">
        <x:v>HB KAWANA</x:v>
      </x:c>
      <x:c r="B15" s="24" t="str">
        <x:v>5</x:v>
      </x:c>
      <x:c r="C15" s="24" t="str">
        <x:v>万圣节</x:v>
      </x:c>
      <x:c r="D15" s="24" t="str">
        <x:v>骷髅与骨头</x:v>
      </x:c>
      <x:c r="E15" s="25" t="n">
        <x:v>5</x:v>
      </x:c>
      <x:c r="F15" s="25" t="n">
        <x:v>5</x:v>
      </x:c>
      <x:c r="G15" s="25" t="n">
        <x:v>81</x:v>
      </x:c>
      <x:c r="H15" s="26" t="str">
        <x:v>Skeleton Bracelet Asst；Skeleton Necklace 35cm；Costume Fluro Bone Rattler Kids</x:v>
      </x:c>
      <x:c r="I15" s="26" t="str">
        <x:v>Halloween Catalogue 2026</x:v>
      </x:c>
      <x:c r="J15" s="26" t="str">
        <x:v>SKU精确匹配</x:v>
      </x:c>
    </x:row>
    <x:row r="16">
      <x:c r="A16" s="24" t="str">
        <x:v>HB KAWANA</x:v>
      </x:c>
      <x:c r="B16" s="24" t="str">
        <x:v>5</x:v>
      </x:c>
      <x:c r="C16" s="24" t="str">
        <x:v>万圣节</x:v>
      </x:c>
      <x:c r="D16" s="24" t="str">
        <x:v>女巫</x:v>
      </x:c>
      <x:c r="E16" s="25" t="n">
        <x:v>5</x:v>
      </x:c>
      <x:c r="F16" s="25" t="n">
        <x:v>5</x:v>
      </x:c>
      <x:c r="G16" s="25" t="n">
        <x:v>57</x:v>
      </x:c>
      <x:c r="H16" s="26" t="str">
        <x:v>Spider Webbing Witch Hat Asst；Witch Spider Web Cape Asst；Costume Darkwood Witch Adults</x:v>
      </x:c>
      <x:c r="I16" s="26" t="str">
        <x:v>Halloween Catalogue 2026</x:v>
      </x:c>
      <x:c r="J16" s="26" t="str">
        <x:v>SKU精确匹配</x:v>
      </x:c>
    </x:row>
    <x:row r="17">
      <x:c r="A17" s="24" t="str">
        <x:v>HB KAWANA</x:v>
      </x:c>
      <x:c r="B17" s="24" t="str">
        <x:v>5</x:v>
      </x:c>
      <x:c r="C17" s="24" t="str">
        <x:v>万圣节</x:v>
      </x:c>
      <x:c r="D17" s="24" t="str">
        <x:v>儿童趣味</x:v>
      </x:c>
      <x:c r="E17" s="25" t="n">
        <x:v>3</x:v>
      </x:c>
      <x:c r="F17" s="25" t="n">
        <x:v>3</x:v>
      </x:c>
      <x:c r="G17" s="25" t="n">
        <x:v>96</x:v>
      </x:c>
      <x:c r="H17" s="26" t="str">
        <x:v>Little Spook Sticker Fun Asst；Halloween Balloons Mix 12pk；Mini Duckie Asst</x:v>
      </x:c>
      <x:c r="I17" s="26" t="str">
        <x:v>Halloween Catalogue 2026</x:v>
      </x:c>
      <x:c r="J17" s="26" t="str">
        <x:v>SKU精确匹配</x:v>
      </x:c>
    </x:row>
    <x:row r="18">
      <x:c r="A18" s="24" t="str">
        <x:v>HB KAWANA</x:v>
      </x:c>
      <x:c r="B18" s="24" t="str">
        <x:v>5</x:v>
      </x:c>
      <x:c r="C18" s="24" t="str">
        <x:v>万圣节</x:v>
      </x:c>
      <x:c r="D18" s="24" t="str">
        <x:v>面具</x:v>
      </x:c>
      <x:c r="E18" s="25" t="n">
        <x:v>3</x:v>
      </x:c>
      <x:c r="F18" s="25" t="n">
        <x:v>3</x:v>
      </x:c>
      <x:c r="G18" s="25" t="n">
        <x:v>72</x:v>
      </x:c>
      <x:c r="H18" s="26" t="str">
        <x:v>Wild Animal Mask Asst；Stitched Mimer Light Up Mask Asst；Stitched Light Up White Mask Asst</x:v>
      </x:c>
      <x:c r="I18" s="26" t="str">
        <x:v>Halloween Catalogue 2026</x:v>
      </x:c>
      <x:c r="J18" s="26" t="str">
        <x:v>SKU精确匹配</x:v>
      </x:c>
    </x:row>
    <x:row r="19">
      <x:c r="A19" s="24" t="str">
        <x:v>HB KAWANA</x:v>
      </x:c>
      <x:c r="B19" s="24" t="str">
        <x:v>5</x:v>
      </x:c>
      <x:c r="C19" s="24" t="str">
        <x:v>万圣节</x:v>
      </x:c>
      <x:c r="D19" s="24" t="str">
        <x:v>粉色恐怖</x:v>
      </x:c>
      <x:c r="E19" s="25" t="n">
        <x:v>3</x:v>
      </x:c>
      <x:c r="F19" s="25" t="n">
        <x:v>3</x:v>
      </x:c>
      <x:c r="G19" s="25" t="n">
        <x:v>60</x:v>
      </x:c>
      <x:c r="H19" s="26" t="str">
        <x:v>Sparkly Ghost Table Decor 25cm；Pink Glitter Devil Headband；Bunny Mask Asst</x:v>
      </x:c>
      <x:c r="I19" s="26" t="str">
        <x:v>Halloween Catalogue 2026</x:v>
      </x:c>
      <x:c r="J19" s="26" t="str">
        <x:v>SKU精确匹配</x:v>
      </x:c>
    </x:row>
    <x:row r="20">
      <x:c r="A20" s="24" t="str">
        <x:v>HB KAWANA</x:v>
      </x:c>
      <x:c r="B20" s="24" t="str">
        <x:v>5</x:v>
      </x:c>
      <x:c r="C20" s="24" t="str">
        <x:v>万圣节</x:v>
      </x:c>
      <x:c r="D20" s="24" t="str">
        <x:v>僵尸</x:v>
      </x:c>
      <x:c r="E20" s="25" t="n">
        <x:v>3</x:v>
      </x:c>
      <x:c r="F20" s="25" t="n">
        <x:v>3</x:v>
      </x:c>
      <x:c r="G20" s="25" t="n">
        <x:v>30</x:v>
      </x:c>
      <x:c r="H20" s="26" t="str">
        <x:v>Zombie Makeup Asst；Costume Bloody Crazed Doctor Adults；Costume Zombie Nurse Adults</x:v>
      </x:c>
      <x:c r="I20" s="26" t="str">
        <x:v>Halloween Catalogue 2026</x:v>
      </x:c>
      <x:c r="J20" s="26" t="str">
        <x:v>SKU精确匹配</x:v>
      </x:c>
    </x:row>
    <x:row r="21">
      <x:c r="A21" s="24" t="str">
        <x:v>HB KAWANA</x:v>
      </x:c>
      <x:c r="B21" s="24" t="str">
        <x:v>5</x:v>
      </x:c>
      <x:c r="C21" s="24" t="str">
        <x:v>万圣节</x:v>
      </x:c>
      <x:c r="D21" s="24" t="str">
        <x:v>疯人院</x:v>
      </x:c>
      <x:c r="E21" s="25" t="n">
        <x:v>3</x:v>
      </x:c>
      <x:c r="F21" s="25" t="n">
        <x:v>3</x:v>
      </x:c>
      <x:c r="G21" s="25" t="n">
        <x:v>30</x:v>
      </x:c>
      <x:c r="H21" s="26" t="str">
        <x:v>Bloody Butcher Dress Up；Costume Bloody Chef Kids；Costume Bloody Doctor Adults</x:v>
      </x:c>
      <x:c r="I21" s="26" t="str">
        <x:v>Halloween Catalogue 2026</x:v>
      </x:c>
      <x:c r="J21" s="26" t="str">
        <x:v>SKU精确匹配</x:v>
      </x:c>
    </x:row>
    <x:row r="22">
      <x:c r="A22" s="24" t="str">
        <x:v>HB KAWANA</x:v>
      </x:c>
      <x:c r="B22" s="24" t="str">
        <x:v>5</x:v>
      </x:c>
      <x:c r="C22" s="24" t="str">
        <x:v>万圣节</x:v>
      </x:c>
      <x:c r="D22" s="24" t="str">
        <x:v>恐怖嘉年华</x:v>
      </x:c>
      <x:c r="E22" s="25" t="n">
        <x:v>1</x:v>
      </x:c>
      <x:c r="F22" s="25" t="n">
        <x:v>2</x:v>
      </x:c>
      <x:c r="G22" s="25" t="n">
        <x:v>24</x:v>
      </x:c>
      <x:c r="H22" s="26" t="str">
        <x:v>Clown Hooded Mask Asst</x:v>
      </x:c>
      <x:c r="I22" s="26" t="str">
        <x:v>Halloween Catalogue 2026</x:v>
      </x:c>
      <x:c r="J22" s="26" t="str">
        <x:v>SKU精确匹配</x:v>
      </x:c>
    </x:row>
    <x:row r="23">
      <x:c r="A23" s="24" t="str">
        <x:v>HB KAWANA</x:v>
      </x:c>
      <x:c r="B23" s="24" t="str">
        <x:v>5</x:v>
      </x:c>
      <x:c r="C23" s="24" t="str">
        <x:v>万圣节</x:v>
      </x:c>
      <x:c r="D23" s="24" t="str">
        <x:v>恶魔</x:v>
      </x:c>
      <x:c r="E23" s="25" t="n">
        <x:v>2</x:v>
      </x:c>
      <x:c r="F23" s="25" t="n">
        <x:v>2</x:v>
      </x:c>
      <x:c r="G23" s="25" t="n">
        <x:v>6</x:v>
      </x:c>
      <x:c r="H23" s="26" t="str">
        <x:v>Costume Black and Red Devil Kids；Costume Flameborn Devil Kids</x:v>
      </x:c>
      <x:c r="I23" s="26" t="str">
        <x:v>Halloween Catalogue 2026</x:v>
      </x:c>
      <x:c r="J23" s="26" t="str">
        <x:v>SKU精确匹配</x:v>
      </x:c>
    </x:row>
    <x:row r="24">
      <x:c r="A24" s="24" t="str">
        <x:v>HB KAWANA</x:v>
      </x:c>
      <x:c r="B24" s="24" t="str">
        <x:v>5</x:v>
      </x:c>
      <x:c r="C24" s="24" t="str">
        <x:v>万圣节</x:v>
      </x:c>
      <x:c r="D24" s="24" t="str">
        <x:v>发光与投影</x:v>
      </x:c>
      <x:c r="E24" s="25" t="n">
        <x:v>1</x:v>
      </x:c>
      <x:c r="F24" s="25" t="n">
        <x:v>1</x:v>
      </x:c>
      <x:c r="G24" s="25" t="n">
        <x:v>24</x:v>
      </x:c>
      <x:c r="H24" s="26" t="str">
        <x:v>Lantern Light 20cm Asst</x:v>
      </x:c>
      <x:c r="I24" s="26" t="str">
        <x:v>Halloween Catalogue 2026</x:v>
      </x:c>
      <x:c r="J24" s="26" t="str">
        <x:v>SKU精确匹配</x:v>
      </x:c>
    </x:row>
    <x:row r="25">
      <x:c r="A25" s="24" t="str">
        <x:v>HB KAWANA</x:v>
      </x:c>
      <x:c r="B25" s="24" t="str">
        <x:v>5</x:v>
      </x:c>
      <x:c r="C25" s="24" t="str">
        <x:v>万圣节</x:v>
      </x:c>
      <x:c r="D25" s="24" t="str">
        <x:v>机械动画装饰</x:v>
      </x:c>
      <x:c r="E25" s="25" t="n">
        <x:v>1</x:v>
      </x:c>
      <x:c r="F25" s="25" t="n">
        <x:v>1</x:v>
      </x:c>
      <x:c r="G25" s="25" t="n">
        <x:v>1</x:v>
      </x:c>
      <x:c r="H25" s="26" t="str">
        <x:v>Animated Rising Ghost 1.8m</x:v>
      </x:c>
      <x:c r="I25" s="26" t="str">
        <x:v>Halloween Catalogue 2026</x:v>
      </x:c>
      <x:c r="J25" s="26" t="str">
        <x:v>SKU精确匹配</x:v>
      </x:c>
    </x:row>
    <x:row r="26">
      <x:c r="A26" s="24" t="str">
        <x:v>HB KAWANA</x:v>
      </x:c>
      <x:c r="B26" s="24" t="str">
        <x:v>11</x:v>
      </x:c>
      <x:c r="C26" s="24" t="str">
        <x:v>圣诞普通商品</x:v>
      </x:c>
      <x:c r="D26" s="24" t="str">
        <x:v>花材与枝叶</x:v>
      </x:c>
      <x:c r="E26" s="25" t="n">
        <x:v>3</x:v>
      </x:c>
      <x:c r="F26" s="25" t="n">
        <x:v>9</x:v>
      </x:c>
      <x:c r="G26" s="25" t="n">
        <x:v>264</x:v>
      </x:c>
      <x:c r="H26" s="26" t="str">
        <x:v>Poinsettia Glitter Clip Asst；Garland Mini Holly 150cm Asst；Leafy Berry Garland 180cm Asst</x:v>
      </x:c>
      <x:c r="I26" s="26" t="str">
        <x:v>Christmas General 2026</x:v>
      </x:c>
      <x:c r="J26" s="26" t="str">
        <x:v>SKU精确匹配</x:v>
      </x:c>
    </x:row>
    <x:row r="27">
      <x:c r="A27" s="24" t="str">
        <x:v>HB KAWANA</x:v>
      </x:c>
      <x:c r="B27" s="24" t="str">
        <x:v>11</x:v>
      </x:c>
      <x:c r="C27" s="24" t="str">
        <x:v>圣诞普通商品</x:v>
      </x:c>
      <x:c r="D27" s="24" t="str">
        <x:v>铃铛</x:v>
      </x:c>
      <x:c r="E27" s="25" t="n">
        <x:v>6</x:v>
      </x:c>
      <x:c r="F27" s="25" t="n">
        <x:v>9</x:v>
      </x:c>
      <x:c r="G27" s="25" t="n">
        <x:v>150</x:v>
      </x:c>
      <x:c r="H27" s="26" t="str">
        <x:v>Tinsel Bell-Bulbs Hanger 30cm Asst；Triple Bells Hanger Berry Deco 40cm Asst；Twin Bells Hanger Striped Bow Asst</x:v>
      </x:c>
      <x:c r="I27" s="26" t="str">
        <x:v>Christmas General 2026</x:v>
      </x:c>
      <x:c r="J27" s="26" t="str">
        <x:v>SKU精确匹配</x:v>
      </x:c>
    </x:row>
    <x:row r="28">
      <x:c r="A28" s="24" t="str">
        <x:v>HB KAWANA</x:v>
      </x:c>
      <x:c r="B28" s="24" t="str">
        <x:v>11</x:v>
      </x:c>
      <x:c r="C28" s="24" t="str">
        <x:v>圣诞普通商品</x:v>
      </x:c>
      <x:c r="D28" s="24" t="str">
        <x:v>桌面装饰</x:v>
      </x:c>
      <x:c r="E28" s="25" t="n">
        <x:v>6</x:v>
      </x:c>
      <x:c r="F28" s="25" t="n">
        <x:v>8</x:v>
      </x:c>
      <x:c r="G28" s="25" t="n">
        <x:v>192</x:v>
      </x:c>
      <x:c r="H28" s="26" t="str">
        <x:v>Tree Topper Star 20cm Asst；Mini Star Topper 13cm Asst；LED Micro Wire Flicker Pillar Candle B/OP</x:v>
      </x:c>
      <x:c r="I28" s="26" t="str">
        <x:v>Christmas General 2026</x:v>
      </x:c>
      <x:c r="J28" s="26" t="str">
        <x:v>SKU精确匹配</x:v>
      </x:c>
    </x:row>
    <x:row r="29">
      <x:c r="A29" s="24" t="str">
        <x:v>HB KAWANA</x:v>
      </x:c>
      <x:c r="B29" s="24" t="str">
        <x:v>11</x:v>
      </x:c>
      <x:c r="C29" s="24" t="str">
        <x:v>圣诞普通商品</x:v>
      </x:c>
      <x:c r="D29" s="24" t="str">
        <x:v>圣诞树挂饰</x:v>
      </x:c>
      <x:c r="E29" s="25" t="n">
        <x:v>4</x:v>
      </x:c>
      <x:c r="F29" s="25" t="n">
        <x:v>5</x:v>
      </x:c>
      <x:c r="G29" s="25" t="n">
        <x:v>180</x:v>
      </x:c>
      <x:c r="H29" s="26" t="str">
        <x:v>Hanging Spinning Photo Deco 8cm Asst；Hanging Colourful Dinosaur Asst；Hanging Snowflake Drop 14cm Asst</x:v>
      </x:c>
      <x:c r="I29" s="26" t="str">
        <x:v>Christmas General 2026</x:v>
      </x:c>
      <x:c r="J29" s="26" t="str">
        <x:v>SKU精确匹配</x:v>
      </x:c>
    </x:row>
    <x:row r="30">
      <x:c r="A30" s="24" t="str">
        <x:v>HB KAWANA</x:v>
      </x:c>
      <x:c r="B30" s="24" t="str">
        <x:v>11</x:v>
      </x:c>
      <x:c r="C30" s="24" t="str">
        <x:v>圣诞普通商品</x:v>
      </x:c>
      <x:c r="D30" s="24" t="str">
        <x:v>厨房用品</x:v>
      </x:c>
      <x:c r="E30" s="25" t="n">
        <x:v>4</x:v>
      </x:c>
      <x:c r="F30" s="25" t="n">
        <x:v>4</x:v>
      </x:c>
      <x:c r="G30" s="25" t="n">
        <x:v>120</x:v>
      </x:c>
      <x:c r="H30" s="26" t="str">
        <x:v>Tea Towel Print Asst；Christmas Bow Felt Coaster 4pk；Christmas Bow Felt Placemat 35cm</x:v>
      </x:c>
      <x:c r="I30" s="26" t="str">
        <x:v>Christmas General 2026</x:v>
      </x:c>
      <x:c r="J30" s="26" t="str">
        <x:v>SKU精确匹配</x:v>
      </x:c>
    </x:row>
    <x:row r="31">
      <x:c r="A31" s="24" t="str">
        <x:v>HB KAWANA</x:v>
      </x:c>
      <x:c r="B31" s="24" t="str">
        <x:v>11</x:v>
      </x:c>
      <x:c r="C31" s="24" t="str">
        <x:v>圣诞普通商品</x:v>
      </x:c>
      <x:c r="D31" s="24" t="str">
        <x:v>糖果手杖主题</x:v>
      </x:c>
      <x:c r="E31" s="25" t="n">
        <x:v>1</x:v>
      </x:c>
      <x:c r="F31" s="25" t="n">
        <x:v>3</x:v>
      </x:c>
      <x:c r="G31" s="25" t="n">
        <x:v>72</x:v>
      </x:c>
      <x:c r="H31" s="26" t="str">
        <x:v>Candycane Ribbed Baubles 60mm 6pk</x:v>
      </x:c>
      <x:c r="I31" s="26" t="str">
        <x:v>Christmas General 2026</x:v>
      </x:c>
      <x:c r="J31" s="26" t="str">
        <x:v>SKU精确匹配</x:v>
      </x:c>
    </x:row>
    <x:row r="32">
      <x:c r="A32" s="24" t="str">
        <x:v>HB KAWANA</x:v>
      </x:c>
      <x:c r="B32" s="24" t="str">
        <x:v>11</x:v>
      </x:c>
      <x:c r="C32" s="24" t="str">
        <x:v>圣诞普通商品</x:v>
      </x:c>
      <x:c r="D32" s="24" t="str">
        <x:v>墙面装饰</x:v>
      </x:c>
      <x:c r="E32" s="25" t="n">
        <x:v>3</x:v>
      </x:c>
      <x:c r="F32" s="25" t="n">
        <x:v>3</x:v>
      </x:c>
      <x:c r="G32" s="25" t="n">
        <x:v>54</x:v>
      </x:c>
      <x:c r="H32" s="26" t="str">
        <x:v>Hanging Metal Berry Wreath Plaque Asst；Hanging Metal Bauble Plaque Asst；Hanging Metal Merry Christmas Sign</x:v>
      </x:c>
      <x:c r="I32" s="26" t="str">
        <x:v>Christmas General 2026</x:v>
      </x:c>
      <x:c r="J32" s="26" t="str">
        <x:v>SKU精确匹配</x:v>
      </x:c>
    </x:row>
    <x:row r="33">
      <x:c r="A33" s="24" t="str">
        <x:v>HB KAWANA</x:v>
      </x:c>
      <x:c r="B33" s="24" t="str">
        <x:v>11</x:v>
      </x:c>
      <x:c r="C33" s="24" t="str">
        <x:v>圣诞普通商品</x:v>
      </x:c>
      <x:c r="D33" s="24" t="str">
        <x:v>纺织品</x:v>
      </x:c>
      <x:c r="E33" s="25" t="n">
        <x:v>2</x:v>
      </x:c>
      <x:c r="F33" s="25" t="n">
        <x:v>3</x:v>
      </x:c>
      <x:c r="G33" s="25" t="n">
        <x:v>48</x:v>
      </x:c>
      <x:c r="H33" s="26" t="str">
        <x:v>Tablecloth Printed 150x225cm Asst；Tablecloth Printed 132x228cm Asst</x:v>
      </x:c>
      <x:c r="I33" s="26" t="str">
        <x:v>Christmas General 2026</x:v>
      </x:c>
      <x:c r="J33" s="26" t="str">
        <x:v>SKU精确匹配</x:v>
      </x:c>
    </x:row>
    <x:row r="34">
      <x:c r="A34" s="24" t="str">
        <x:v>HB KAWANA</x:v>
      </x:c>
      <x:c r="B34" s="24" t="str">
        <x:v>11</x:v>
      </x:c>
      <x:c r="C34" s="24" t="str">
        <x:v>圣诞普通商品</x:v>
      </x:c>
      <x:c r="D34" s="24" t="str">
        <x:v>奢华传统主题</x:v>
      </x:c>
      <x:c r="E34" s="25" t="n">
        <x:v>1</x:v>
      </x:c>
      <x:c r="F34" s="25" t="n">
        <x:v>1</x:v>
      </x:c>
      <x:c r="G34" s="25" t="n">
        <x:v>24</x:v>
      </x:c>
      <x:c r="H34" s="26" t="str">
        <x:v>Bauble Glitter Lattice 10cm Asst</x:v>
      </x:c>
      <x:c r="I34" s="26" t="str">
        <x:v>Christmas General 2026</x:v>
      </x:c>
      <x:c r="J34" s="26" t="str">
        <x:v>SKU精确匹配</x:v>
      </x:c>
    </x:row>
    <x:row r="35">
      <x:c r="A35" s="24" t="str">
        <x:v>HB KAWANA</x:v>
      </x:c>
      <x:c r="B35" s="24" t="str">
        <x:v>11</x:v>
      </x:c>
      <x:c r="C35" s="24" t="str">
        <x:v>圣诞普通商品</x:v>
      </x:c>
      <x:c r="D35" s="24" t="str">
        <x:v>节日趣味商品</x:v>
      </x:c>
      <x:c r="E35" s="25" t="n">
        <x:v>1</x:v>
      </x:c>
      <x:c r="F35" s="25" t="n">
        <x:v>1</x:v>
      </x:c>
      <x:c r="G35" s="25" t="n">
        <x:v>24</x:v>
      </x:c>
      <x:c r="H35" s="26" t="str">
        <x:v>Christmas Plush Pal SRT Asst</x:v>
      </x:c>
      <x:c r="I35" s="26" t="str">
        <x:v>Christmas General 2026</x:v>
      </x:c>
      <x:c r="J35" s="26" t="str">
        <x:v>SKU精确匹配</x:v>
      </x:c>
    </x:row>
    <x:row r="36">
      <x:c r="A36" s="24" t="str">
        <x:v>HB KAWANA</x:v>
      </x:c>
      <x:c r="B36" s="24" t="str">
        <x:v>11</x:v>
      </x:c>
      <x:c r="C36" s="24" t="str">
        <x:v>圣诞普通商品</x:v>
      </x:c>
      <x:c r="D36" s="24" t="str">
        <x:v>发光装饰</x:v>
      </x:c>
      <x:c r="E36" s="25" t="n">
        <x:v>1</x:v>
      </x:c>
      <x:c r="F36" s="25" t="n">
        <x:v>1</x:v>
      </x:c>
      <x:c r="G36" s="25" t="n">
        <x:v>12</x:v>
      </x:c>
      <x:c r="H36" s="26" t="str">
        <x:v>Glitter Swirl Candle Col Change USB 25cm</x:v>
      </x:c>
      <x:c r="I36" s="26" t="str">
        <x:v>Christmas General 2026</x:v>
      </x:c>
      <x:c r="J36" s="26" t="str">
        <x:v>SKU精确匹配</x:v>
      </x:c>
    </x:row>
    <x:row r="37">
      <x:c r="A37" s="24" t="str">
        <x:v>HB KAWANA</x:v>
      </x:c>
      <x:c r="B37" s="24" t="str">
        <x:v>11</x:v>
      </x:c>
      <x:c r="C37" s="24" t="str">
        <x:v>圣诞普通商品</x:v>
      </x:c>
      <x:c r="D37" s="24" t="str">
        <x:v>粉彩花园主题</x:v>
      </x:c>
      <x:c r="E37" s="25" t="n">
        <x:v>1</x:v>
      </x:c>
      <x:c r="F37" s="25" t="n">
        <x:v>1</x:v>
      </x:c>
      <x:c r="G37" s="25" t="n">
        <x:v>12</x:v>
      </x:c>
      <x:c r="H37" s="26" t="str">
        <x:v>Pastel Sitting Santa/Reindeer 35cm Asst</x:v>
      </x:c>
      <x:c r="I37" s="26" t="str">
        <x:v>Christmas General 2026</x:v>
      </x:c>
      <x:c r="J37" s="26" t="str">
        <x:v>SKU精确匹配</x:v>
      </x:c>
    </x:row>
    <x:row r="38">
      <x:c r="A38" s="24" t="str">
        <x:v>HB KAWANA</x:v>
      </x:c>
      <x:c r="B38" s="24" t="str">
        <x:v>11</x:v>
      </x:c>
      <x:c r="C38" s="24" t="str">
        <x:v>圣诞灯饰</x:v>
      </x:c>
      <x:c r="D38" s="24" t="str">
        <x:v>太阳能灯饰</x:v>
      </x:c>
      <x:c r="E38" s="25" t="n">
        <x:v>2</x:v>
      </x:c>
      <x:c r="F38" s="25" t="n">
        <x:v>12</x:v>
      </x:c>
      <x:c r="G38" s="25" t="n">
        <x:v>144</x:v>
      </x:c>
      <x:c r="H38" s="26" t="str">
        <x:v>Solar Mini Candy Cane Path Lghts 8pk；Solar Candy Cane Path Stakes 4pk</x:v>
      </x:c>
      <x:c r="I38" s="26" t="str">
        <x:v>Christmas Lighting 2026</x:v>
      </x:c>
      <x:c r="J38" s="26" t="str">
        <x:v>SKU精确匹配</x:v>
      </x:c>
    </x:row>
    <x:row r="39">
      <x:c r="A39" s="24" t="str">
        <x:v>HB KAWANA</x:v>
      </x:c>
      <x:c r="B39" s="24" t="str">
        <x:v>11</x:v>
      </x:c>
      <x:c r="C39" s="24" t="str">
        <x:v>圣诞灯饰</x:v>
      </x:c>
      <x:c r="D39" s="24" t="str">
        <x:v>创意灯饰</x:v>
      </x:c>
      <x:c r="E39" s="25" t="n">
        <x:v>5</x:v>
      </x:c>
      <x:c r="F39" s="25" t="n">
        <x:v>6</x:v>
      </x:c>
      <x:c r="G39" s="25" t="n">
        <x:v>60</x:v>
      </x:c>
      <x:c r="H39" s="26" t="str">
        <x:v>LED Garden Star Cascade 3.5m Multi Colour；LED Dew Drop Star Curtain Gold；LED Dew Drop Star Curtain Multi Colour</x:v>
      </x:c>
      <x:c r="I39" s="26" t="str">
        <x:v>Christmas Lighting 2026</x:v>
      </x:c>
      <x:c r="J39" s="26" t="str">
        <x:v>SKU精确匹配</x:v>
      </x:c>
    </x:row>
    <x:row r="40">
      <x:c r="A40" s="24" t="str">
        <x:v>HB KAWANA</x:v>
      </x:c>
      <x:c r="B40" s="24" t="str">
        <x:v>11</x:v>
      </x:c>
      <x:c r="C40" s="24" t="str">
        <x:v>圣诞灯饰</x:v>
      </x:c>
      <x:c r="D40" s="24" t="str">
        <x:v>基础 LED 灯串</x:v>
      </x:c>
      <x:c r="E40" s="25" t="n">
        <x:v>1</x:v>
      </x:c>
      <x:c r="F40" s="25" t="n">
        <x:v>2</x:v>
      </x:c>
      <x:c r="G40" s="25" t="n">
        <x:v>16</x:v>
      </x:c>
      <x:c r="H40" s="26" t="str">
        <x:v>LED Lights 500 Timer Warm White</x:v>
      </x:c>
      <x:c r="I40" s="26" t="str">
        <x:v>Christmas Lighting 2026</x:v>
      </x:c>
      <x:c r="J40" s="26" t="str">
        <x:v>SKU精确匹配</x:v>
      </x:c>
    </x:row>
    <x:row r="41">
      <x:c r="A41" s="24" t="str">
        <x:v>HB KAWANA</x:v>
      </x:c>
      <x:c r="B41" s="24" t="str">
        <x:v>11</x:v>
      </x:c>
      <x:c r="C41" s="24" t="str">
        <x:v>圣诞灯饰</x:v>
      </x:c>
      <x:c r="D41" s="24" t="str">
        <x:v>庭院灯饰</x:v>
      </x:c>
      <x:c r="E41" s="25" t="n">
        <x:v>2</x:v>
      </x:c>
      <x:c r="F41" s="25" t="n">
        <x:v>2</x:v>
      </x:c>
      <x:c r="G41" s="25" t="n">
        <x:v>16</x:v>
      </x:c>
      <x:c r="H41" s="26" t="str">
        <x:v>Solar Disco Projector RGB；Lit Picket Fence 8pk Warm White</x:v>
      </x:c>
      <x:c r="I41" s="26" t="str">
        <x:v>Christmas Lighting 2026</x:v>
      </x:c>
      <x:c r="J41" s="26" t="str">
        <x:v>SKU精确匹配</x:v>
      </x:c>
    </x:row>
    <x:row r="42">
      <x:c r="A42" s="24" t="str">
        <x:v>HB KAWANA</x:v>
      </x:c>
      <x:c r="B42" s="24" t="str">
        <x:v>11</x:v>
      </x:c>
      <x:c r="C42" s="24" t="str">
        <x:v>圣诞灯饰</x:v>
      </x:c>
      <x:c r="D42" s="24" t="str">
        <x:v>Infinity/Neon 灯饰</x:v>
      </x:c>
      <x:c r="E42" s="25" t="n">
        <x:v>2</x:v>
      </x:c>
      <x:c r="F42" s="25" t="n">
        <x:v>2</x:v>
      </x:c>
      <x:c r="G42" s="25" t="n">
        <x:v>16</x:v>
      </x:c>
      <x:c r="H42" s="26" t="str">
        <x:v>Infinity Light Tree 40cm；Infinity Light Santa 40cm</x:v>
      </x:c>
      <x:c r="I42" s="26" t="str">
        <x:v>Christmas Lighting 2026</x:v>
      </x:c>
      <x:c r="J42" s="26" t="str">
        <x:v>SKU精确匹配</x:v>
      </x:c>
    </x:row>
    <x:row r="43">
      <x:c r="A43" s="24" t="str">
        <x:v>HB KAWANA</x:v>
      </x:c>
      <x:c r="B43" s="24" t="str">
        <x:v>11</x:v>
      </x:c>
      <x:c r="C43" s="24" t="str">
        <x:v>圣诞灯饰</x:v>
      </x:c>
      <x:c r="D43" s="24" t="str">
        <x:v>电池灯饰</x:v>
      </x:c>
      <x:c r="E43" s="25" t="n">
        <x:v>1</x:v>
      </x:c>
      <x:c r="F43" s="25" t="n">
        <x:v>1</x:v>
      </x:c>
      <x:c r="G43" s="25" t="n">
        <x:v>72</x:v>
      </x:c>
      <x:c r="H43" s="26" t="str">
        <x:v>Deco Wire Lights 20pk Asst Floor Display</x:v>
      </x:c>
      <x:c r="I43" s="26" t="str">
        <x:v>Christmas Lighting 2026</x:v>
      </x:c>
      <x:c r="J43" s="26" t="str">
        <x:v>SKU精确匹配</x:v>
      </x:c>
    </x:row>
    <x:row r="44">
      <x:c r="A44" s="24" t="str">
        <x:v>HB KAWANA</x:v>
      </x:c>
      <x:c r="B44" s="24" t="str">
        <x:v>12</x:v>
      </x:c>
      <x:c r="C44" s="24" t="str">
        <x:v>圣诞普通商品</x:v>
      </x:c>
      <x:c r="D44" s="24" t="str">
        <x:v>铃铛</x:v>
      </x:c>
      <x:c r="E44" s="25" t="n">
        <x:v>4</x:v>
      </x:c>
      <x:c r="F44" s="25" t="n">
        <x:v>7</x:v>
      </x:c>
      <x:c r="G44" s="25" t="n">
        <x:v>168</x:v>
      </x:c>
      <x:c r="H44" s="26" t="str">
        <x:v>Mini Nutbells Door Hanger 20cm Asst；Nutbells Hanger with Bow 30cm Asst；Hanging Bell Candystripe Bow 8cm Asst</x:v>
      </x:c>
      <x:c r="I44" s="26" t="str">
        <x:v>Christmas General 2026</x:v>
      </x:c>
      <x:c r="J44" s="26" t="str">
        <x:v>SKU精确匹配</x:v>
      </x:c>
    </x:row>
    <x:row r="45">
      <x:c r="A45" s="24" t="str">
        <x:v>HB KAWANA</x:v>
      </x:c>
      <x:c r="B45" s="24" t="str">
        <x:v>12</x:v>
      </x:c>
      <x:c r="C45" s="24" t="str">
        <x:v>圣诞普通商品</x:v>
      </x:c>
      <x:c r="D45" s="24" t="str">
        <x:v>花材与枝叶</x:v>
      </x:c>
      <x:c r="E45" s="25" t="n">
        <x:v>3</x:v>
      </x:c>
      <x:c r="F45" s="25" t="n">
        <x:v>5</x:v>
      </x:c>
      <x:c r="G45" s="25" t="n">
        <x:v>144</x:v>
      </x:c>
      <x:c r="H45" s="26" t="str">
        <x:v>Metallic Draping Spray 134cm Asst；Velvet Sequins Poinsettia Asst；Velveteen Poinsettia Clip Asst</x:v>
      </x:c>
      <x:c r="I45" s="26" t="str">
        <x:v>Christmas General 2026</x:v>
      </x:c>
      <x:c r="J45" s="26" t="str">
        <x:v>SKU精确匹配</x:v>
      </x:c>
    </x:row>
    <x:row r="46">
      <x:c r="A46" s="24" t="str">
        <x:v>HB KAWANA</x:v>
      </x:c>
      <x:c r="B46" s="24" t="str">
        <x:v>12</x:v>
      </x:c>
      <x:c r="C46" s="24" t="str">
        <x:v>圣诞普通商品</x:v>
      </x:c>
      <x:c r="D46" s="24" t="str">
        <x:v>纺织品</x:v>
      </x:c>
      <x:c r="E46" s="25" t="n">
        <x:v>4</x:v>
      </x:c>
      <x:c r="F46" s="25" t="n">
        <x:v>4</x:v>
      </x:c>
      <x:c r="G46" s="25" t="n">
        <x:v>108</x:v>
      </x:c>
      <x:c r="H46" s="26" t="str">
        <x:v>Table Runner Printed 183cm Asst；Table Cloth Damask 150x225cm Asst；Runner Printed 150cm Asst</x:v>
      </x:c>
      <x:c r="I46" s="26" t="str">
        <x:v>Christmas General 2026</x:v>
      </x:c>
      <x:c r="J46" s="26" t="str">
        <x:v>SKU精确匹配</x:v>
      </x:c>
    </x:row>
    <x:row r="47">
      <x:c r="A47" s="24" t="str">
        <x:v>HB KAWANA</x:v>
      </x:c>
      <x:c r="B47" s="24" t="str">
        <x:v>12</x:v>
      </x:c>
      <x:c r="C47" s="24" t="str">
        <x:v>圣诞普通商品</x:v>
      </x:c>
      <x:c r="D47" s="24" t="str">
        <x:v>厨房用品</x:v>
      </x:c>
      <x:c r="E47" s="25" t="n">
        <x:v>2</x:v>
      </x:c>
      <x:c r="F47" s="25" t="n">
        <x:v>2</x:v>
      </x:c>
      <x:c r="G47" s="25" t="n">
        <x:v>72</x:v>
      </x:c>
      <x:c r="H47" s="26" t="str">
        <x:v>Christmas Apron Asst；Cotton Waffle Tea Towel 2pk</x:v>
      </x:c>
      <x:c r="I47" s="26" t="str">
        <x:v>Christmas General 2026</x:v>
      </x:c>
      <x:c r="J47" s="26" t="str">
        <x:v>SKU精确匹配</x:v>
      </x:c>
    </x:row>
    <x:row r="48">
      <x:c r="A48" s="24" t="str">
        <x:v>HB KAWANA</x:v>
      </x:c>
      <x:c r="B48" s="24" t="str">
        <x:v>12</x:v>
      </x:c>
      <x:c r="C48" s="24" t="str">
        <x:v>圣诞普通商品</x:v>
      </x:c>
      <x:c r="D48" s="24" t="str">
        <x:v>奢华传统主题</x:v>
      </x:c>
      <x:c r="E48" s="25" t="n">
        <x:v>2</x:v>
      </x:c>
      <x:c r="F48" s="25" t="n">
        <x:v>2</x:v>
      </x:c>
      <x:c r="G48" s="25" t="n">
        <x:v>30</x:v>
      </x:c>
      <x:c r="H48" s="26" t="str">
        <x:v>Hanging Flocked Bow 10cm Asst；Pillar Bristle Tree with Bow 50cm</x:v>
      </x:c>
      <x:c r="I48" s="26" t="str">
        <x:v>Christmas General 2026</x:v>
      </x:c>
      <x:c r="J48" s="26" t="str">
        <x:v>SKU精确匹配</x:v>
      </x:c>
    </x:row>
    <x:row r="49">
      <x:c r="A49" s="24" t="str">
        <x:v>HB KAWANA</x:v>
      </x:c>
      <x:c r="B49" s="24" t="str">
        <x:v>12</x:v>
      </x:c>
      <x:c r="C49" s="24" t="str">
        <x:v>圣诞普通商品</x:v>
      </x:c>
      <x:c r="D49" s="24" t="str">
        <x:v>节日趣味商品</x:v>
      </x:c>
      <x:c r="E49" s="25" t="n">
        <x:v>2</x:v>
      </x:c>
      <x:c r="F49" s="25" t="n">
        <x:v>2</x:v>
      </x:c>
      <x:c r="G49" s="25" t="n">
        <x:v>24</x:v>
      </x:c>
      <x:c r="H49" s="26" t="str">
        <x:v>Soft Plush Toy 23cm Asst；Sing N Twirl Christmas Character Asst</x:v>
      </x:c>
      <x:c r="I49" s="26" t="str">
        <x:v>Christmas General 2026</x:v>
      </x:c>
      <x:c r="J49" s="26" t="str">
        <x:v>SKU精确匹配</x:v>
      </x:c>
    </x:row>
    <x:row r="50">
      <x:c r="A50" s="24" t="str">
        <x:v>HB KAWANA</x:v>
      </x:c>
      <x:c r="B50" s="24" t="str">
        <x:v>12</x:v>
      </x:c>
      <x:c r="C50" s="24" t="str">
        <x:v>圣诞普通商品</x:v>
      </x:c>
      <x:c r="D50" s="24" t="str">
        <x:v>桌面装饰</x:v>
      </x:c>
      <x:c r="E50" s="25" t="n">
        <x:v>1</x:v>
      </x:c>
      <x:c r="F50" s="25" t="n">
        <x:v>1</x:v>
      </x:c>
      <x:c r="G50" s="25" t="n">
        <x:v>24</x:v>
      </x:c>
      <x:c r="H50" s="26" t="str">
        <x:v>Tree Topper Shiny Star 11cm Asst</x:v>
      </x:c>
      <x:c r="I50" s="26" t="str">
        <x:v>Christmas General 2026</x:v>
      </x:c>
      <x:c r="J50" s="26" t="str">
        <x:v>SKU精确匹配</x:v>
      </x:c>
    </x:row>
    <x:row r="51">
      <x:c r="A51" s="24" t="str">
        <x:v>HB KAWANA</x:v>
      </x:c>
      <x:c r="B51" s="24" t="str">
        <x:v>12</x:v>
      </x:c>
      <x:c r="C51" s="24" t="str">
        <x:v>圣诞普通商品</x:v>
      </x:c>
      <x:c r="D51" s="24" t="str">
        <x:v>墙面装饰</x:v>
      </x:c>
      <x:c r="E51" s="25" t="n">
        <x:v>1</x:v>
      </x:c>
      <x:c r="F51" s="25" t="n">
        <x:v>1</x:v>
      </x:c>
      <x:c r="G51" s="25" t="n">
        <x:v>12</x:v>
      </x:c>
      <x:c r="H51" s="26" t="str">
        <x:v>Christmas Giant Selfie Frame</x:v>
      </x:c>
      <x:c r="I51" s="26" t="str">
        <x:v>Christmas General 2026</x:v>
      </x:c>
      <x:c r="J51" s="26" t="str">
        <x:v>SKU精确匹配</x:v>
      </x:c>
    </x:row>
    <x:row r="52">
      <x:c r="A52" s="24" t="str">
        <x:v>HB KAWANA</x:v>
      </x:c>
      <x:c r="B52" s="24" t="str">
        <x:v>12</x:v>
      </x:c>
      <x:c r="C52" s="24" t="str">
        <x:v>圣诞灯饰</x:v>
      </x:c>
      <x:c r="D52" s="24" t="str">
        <x:v>太阳能灯饰</x:v>
      </x:c>
      <x:c r="E52" s="25" t="n">
        <x:v>4</x:v>
      </x:c>
      <x:c r="F52" s="25" t="n">
        <x:v>9</x:v>
      </x:c>
      <x:c r="G52" s="25" t="n">
        <x:v>96</x:v>
      </x:c>
      <x:c r="H52" s="26" t="str">
        <x:v>Solar LED Reindeer Path Lights 10pk Multi；Solar LED Path Lollipops 5pk Asst；Solar LED Reindeer White</x:v>
      </x:c>
      <x:c r="I52" s="26" t="str">
        <x:v>Christmas Lighting 2026</x:v>
      </x:c>
      <x:c r="J52" s="26" t="str">
        <x:v>SKU精确匹配</x:v>
      </x:c>
    </x:row>
    <x:row r="53">
      <x:c r="A53" s="24" t="str">
        <x:v>HB KAWANA</x:v>
      </x:c>
      <x:c r="B53" s="24" t="str">
        <x:v>12</x:v>
      </x:c>
      <x:c r="C53" s="24" t="str">
        <x:v>圣诞灯饰</x:v>
      </x:c>
      <x:c r="D53" s="24" t="str">
        <x:v>创意灯饰</x:v>
      </x:c>
      <x:c r="E53" s="25" t="n">
        <x:v>5</x:v>
      </x:c>
      <x:c r="F53" s="25" t="n">
        <x:v>6</x:v>
      </x:c>
      <x:c r="G53" s="25" t="n">
        <x:v>42</x:v>
      </x:c>
      <x:c r="H53" s="26" t="str">
        <x:v>Motif Light Shooting Star Multi Col；Dew Drop Snowflake Curtain Gold；Wall Tree with Star Flashing Multi Col</x:v>
      </x:c>
      <x:c r="I53" s="26" t="str">
        <x:v>Christmas Lighting 2026</x:v>
      </x:c>
      <x:c r="J53" s="26" t="str">
        <x:v>SKU精确匹配</x:v>
      </x:c>
    </x:row>
    <x:row r="54">
      <x:c r="A54" s="24" t="str">
        <x:v>HB KAWANA</x:v>
      </x:c>
      <x:c r="B54" s="24" t="str">
        <x:v>12</x:v>
      </x:c>
      <x:c r="C54" s="24" t="str">
        <x:v>圣诞灯饰</x:v>
      </x:c>
      <x:c r="D54" s="24" t="str">
        <x:v>Ropelight 绳灯</x:v>
      </x:c>
      <x:c r="E54" s="25" t="n">
        <x:v>2</x:v>
      </x:c>
      <x:c r="F54" s="25" t="n">
        <x:v>4</x:v>
      </x:c>
      <x:c r="G54" s="25" t="n">
        <x:v>20</x:v>
      </x:c>
      <x:c r="H54" s="26" t="str">
        <x:v>Slashing Through The Snow Santa Ropelight；Ropelight Holly Snow Merry Christmas Twinkle</x:v>
      </x:c>
      <x:c r="I54" s="26" t="str">
        <x:v>Christmas Lighting 2026</x:v>
      </x:c>
      <x:c r="J54" s="26" t="str">
        <x:v>SKU精确匹配</x:v>
      </x:c>
    </x:row>
    <x:row r="55">
      <x:c r="A55" s="24" t="str">
        <x:v>HB KAWANA</x:v>
      </x:c>
      <x:c r="B55" s="24" t="str">
        <x:v>12</x:v>
      </x:c>
      <x:c r="C55" s="24" t="str">
        <x:v>圣诞灯饰</x:v>
      </x:c>
      <x:c r="D55" s="24" t="str">
        <x:v>基础 LED 灯串</x:v>
      </x:c>
      <x:c r="E55" s="25" t="n">
        <x:v>1</x:v>
      </x:c>
      <x:c r="F55" s="25" t="n">
        <x:v>3</x:v>
      </x:c>
      <x:c r="G55" s="25" t="n">
        <x:v>18</x:v>
      </x:c>
      <x:c r="H55" s="26" t="str">
        <x:v>LED Fairy Lights 1000 w/Reel 5 Colour Funtime</x:v>
      </x:c>
      <x:c r="I55" s="26" t="str">
        <x:v>Christmas Lighting 2026</x:v>
      </x:c>
      <x:c r="J55" s="26" t="str">
        <x:v>SKU精确匹配</x:v>
      </x:c>
    </x:row>
    <x:row r="56">
      <x:c r="A56" s="24" t="str">
        <x:v>HB KAWANA</x:v>
      </x:c>
      <x:c r="B56" s="24" t="str">
        <x:v>12</x:v>
      </x:c>
      <x:c r="C56" s="24" t="str">
        <x:v>圣诞灯饰</x:v>
      </x:c>
      <x:c r="D56" s="24" t="str">
        <x:v>灯光圣诞树</x:v>
      </x:c>
      <x:c r="E56" s="25" t="n">
        <x:v>1</x:v>
      </x:c>
      <x:c r="F56" s="25" t="n">
        <x:v>2</x:v>
      </x:c>
      <x:c r="G56" s="25" t="n">
        <x:v>6</x:v>
      </x:c>
      <x:c r="H56" s="26" t="str">
        <x:v>Sparkle Tree 135cm Twinkle Silver Enchanted</x:v>
      </x:c>
      <x:c r="I56" s="26" t="str">
        <x:v>Christmas Lighting 2026</x:v>
      </x:c>
      <x:c r="J56" s="26" t="str">
        <x:v>SKU精确匹配</x:v>
      </x:c>
    </x:row>
    <x:row r="57">
      <x:c r="A57" s="24" t="str">
        <x:v>HB KAWANA</x:v>
      </x:c>
      <x:c r="B57" s="24" t="str">
        <x:v>13</x:v>
      </x:c>
      <x:c r="C57" s="24" t="str">
        <x:v>圣诞普通商品</x:v>
      </x:c>
      <x:c r="D57" s="24" t="str">
        <x:v>花材与枝叶</x:v>
      </x:c>
      <x:c r="E57" s="25" t="n">
        <x:v>2</x:v>
      </x:c>
      <x:c r="F57" s="25" t="n">
        <x:v>4</x:v>
      </x:c>
      <x:c r="G57" s="25" t="n">
        <x:v>96</x:v>
      </x:c>
      <x:c r="H57" s="26" t="str">
        <x:v>Foliage Berry Hanger with Bow Asst；Shimmer Poinsettia Clip Asst</x:v>
      </x:c>
      <x:c r="I57" s="26" t="str">
        <x:v>Christmas General 2026</x:v>
      </x:c>
      <x:c r="J57" s="26" t="str">
        <x:v>SKU精确匹配</x:v>
      </x:c>
    </x:row>
    <x:row r="58">
      <x:c r="A58" s="24" t="str">
        <x:v>HB KAWANA</x:v>
      </x:c>
      <x:c r="B58" s="24" t="str">
        <x:v>13</x:v>
      </x:c>
      <x:c r="C58" s="24" t="str">
        <x:v>圣诞普通商品</x:v>
      </x:c>
      <x:c r="D58" s="24" t="str">
        <x:v>纺织品</x:v>
      </x:c>
      <x:c r="E58" s="25" t="n">
        <x:v>1</x:v>
      </x:c>
      <x:c r="F58" s="25" t="n">
        <x:v>1</x:v>
      </x:c>
      <x:c r="G58" s="25" t="n">
        <x:v>24</x:v>
      </x:c>
      <x:c r="H58" s="26" t="str">
        <x:v>Christmas Woven Tablecloth 150x225cm Asst</x:v>
      </x:c>
      <x:c r="I58" s="26" t="str">
        <x:v>Christmas General 2026</x:v>
      </x:c>
      <x:c r="J58" s="26" t="str">
        <x:v>SKU精确匹配</x:v>
      </x:c>
    </x:row>
    <x:row r="59">
      <x:c r="A59" s="24" t="str">
        <x:v>HB KAWANA</x:v>
      </x:c>
      <x:c r="B59" s="24" t="str">
        <x:v>13</x:v>
      </x:c>
      <x:c r="C59" s="24" t="str">
        <x:v>圣诞普通商品</x:v>
      </x:c>
      <x:c r="D59" s="24" t="str">
        <x:v>圣诞树挂饰</x:v>
      </x:c>
      <x:c r="E59" s="25" t="n">
        <x:v>1</x:v>
      </x:c>
      <x:c r="F59" s="25" t="n">
        <x:v>1</x:v>
      </x:c>
      <x:c r="G59" s="25" t="n">
        <x:v>24</x:v>
      </x:c>
      <x:c r="H59" s="26" t="str">
        <x:v>Hanging Plush Teddy Bear Asst</x:v>
      </x:c>
      <x:c r="I59" s="26" t="str">
        <x:v>Christmas General 2026</x:v>
      </x:c>
      <x:c r="J59" s="26" t="str">
        <x:v>SKU精确匹配</x:v>
      </x:c>
    </x:row>
    <x:row r="60">
      <x:c r="A60" s="24" t="str">
        <x:v>HB KAWANA</x:v>
      </x:c>
      <x:c r="B60" s="24" t="str">
        <x:v>13</x:v>
      </x:c>
      <x:c r="C60" s="24" t="str">
        <x:v>圣诞灯饰</x:v>
      </x:c>
      <x:c r="D60" s="24" t="str">
        <x:v>太阳能灯饰</x:v>
      </x:c>
      <x:c r="E60" s="25" t="n">
        <x:v>5</x:v>
      </x:c>
      <x:c r="F60" s="25" t="n">
        <x:v>12</x:v>
      </x:c>
      <x:c r="G60" s="25" t="n">
        <x:v>118</x:v>
      </x:c>
      <x:c r="H60" s="26" t="str">
        <x:v>Solar LED Star Path Lights 5pk Asst；Solar LED Snowflake Path Lights 5pk Asst；Solar Character Path Stakes 6pk</x:v>
      </x:c>
      <x:c r="I60" s="26" t="str">
        <x:v>Christmas Lighting 2026</x:v>
      </x:c>
      <x:c r="J60" s="26" t="str">
        <x:v>SKU精确匹配</x:v>
      </x:c>
    </x:row>
    <x:row r="61">
      <x:c r="A61" s="24" t="str">
        <x:v>HB KAWANA</x:v>
      </x:c>
      <x:c r="B61" s="24" t="str">
        <x:v>13</x:v>
      </x:c>
      <x:c r="C61" s="24" t="str">
        <x:v>圣诞灯饰</x:v>
      </x:c>
      <x:c r="D61" s="24" t="str">
        <x:v>创意灯饰</x:v>
      </x:c>
      <x:c r="E61" s="25" t="n">
        <x:v>3</x:v>
      </x:c>
      <x:c r="F61" s="25" t="n">
        <x:v>6</x:v>
      </x:c>
      <x:c r="G61" s="25" t="n">
        <x:v>36</x:v>
      </x:c>
      <x:c r="H61" s="26" t="str">
        <x:v>Flashing Parachute Light w/Nylon Santa；Nativity Star Curtain Light Multi Col；LED Petal Balls 10cm 5pc Colour Change</x:v>
      </x:c>
      <x:c r="I61" s="26" t="str">
        <x:v>Christmas Lighting 2026</x:v>
      </x:c>
      <x:c r="J61" s="26" t="str">
        <x:v>SKU精确匹配</x:v>
      </x:c>
    </x:row>
    <x:row r="62">
      <x:c r="A62" s="24" t="str">
        <x:v>HB KAWANA</x:v>
      </x:c>
      <x:c r="B62" s="24" t="str">
        <x:v>13</x:v>
      </x:c>
      <x:c r="C62" s="24" t="str">
        <x:v>圣诞灯饰</x:v>
      </x:c>
      <x:c r="D62" s="24" t="str">
        <x:v>图案灯/Motif Lights</x:v>
      </x:c>
      <x:c r="E62" s="25" t="n">
        <x:v>1</x:v>
      </x:c>
      <x:c r="F62" s="25" t="n">
        <x:v>4</x:v>
      </x:c>
      <x:c r="G62" s="25" t="n">
        <x:v>16</x:v>
      </x:c>
      <x:c r="H62" s="26" t="str">
        <x:v>LED Motif Triple Star Multi Colour Twinkle</x:v>
      </x:c>
      <x:c r="I62" s="26" t="str">
        <x:v>Christmas Lighting 2026</x:v>
      </x:c>
      <x:c r="J62" s="26" t="str">
        <x:v>SKU精确匹配</x:v>
      </x:c>
    </x:row>
    <x:row r="63">
      <x:c r="A63" s="24" t="str">
        <x:v>HB KAWANA</x:v>
      </x:c>
      <x:c r="B63" s="24" t="str">
        <x:v>13</x:v>
      </x:c>
      <x:c r="C63" s="24" t="str">
        <x:v>圣诞灯饰</x:v>
      </x:c>
      <x:c r="D63" s="24" t="str">
        <x:v>Ropelight 绳灯</x:v>
      </x:c>
      <x:c r="E63" s="25" t="n">
        <x:v>1</x:v>
      </x:c>
      <x:c r="F63" s="25" t="n">
        <x:v>4</x:v>
      </x:c>
      <x:c r="G63" s="25" t="n">
        <x:v>16</x:v>
      </x:c>
      <x:c r="H63" s="26" t="str">
        <x:v>Ropelight Happy Santa Twinkle Red-Green-Cool</x:v>
      </x:c>
      <x:c r="I63" s="26" t="str">
        <x:v>Christmas Lighting 2026</x:v>
      </x:c>
      <x:c r="J63" s="26" t="str">
        <x:v>SKU精确匹配</x:v>
      </x:c>
    </x:row>
    <x:row r="64">
      <x:c r="A64" s="24" t="str">
        <x:v>HB KAWANA</x:v>
      </x:c>
      <x:c r="B64" s="24" t="str">
        <x:v>13</x:v>
      </x:c>
      <x:c r="C64" s="24" t="str">
        <x:v>圣诞灯饰</x:v>
      </x:c>
      <x:c r="D64" s="24" t="str">
        <x:v>灯光圣诞树</x:v>
      </x:c>
      <x:c r="E64" s="25" t="n">
        <x:v>2</x:v>
      </x:c>
      <x:c r="F64" s="25" t="n">
        <x:v>4</x:v>
      </x:c>
      <x:c r="G64" s="25" t="n">
        <x:v>14</x:v>
      </x:c>
      <x:c r="H64" s="26" t="str">
        <x:v>Weeping Willow 210cm Warm White Twinkle；LED Sparkle Tree 135cm Twinkle Gold Warm</x:v>
      </x:c>
      <x:c r="I64" s="26" t="str">
        <x:v>Christmas Lighting 2026</x:v>
      </x:c>
      <x:c r="J64" s="26" t="str">
        <x:v>SKU精确匹配</x:v>
      </x:c>
    </x:row>
    <x:row r="65">
      <x:c r="A65" s="24" t="str">
        <x:v>HB KAWANA</x:v>
      </x:c>
      <x:c r="B65" s="24" t="str">
        <x:v>19</x:v>
      </x:c>
      <x:c r="C65" s="24" t="str">
        <x:v>万圣节</x:v>
      </x:c>
      <x:c r="D65" s="24" t="str">
        <x:v>通用服装</x:v>
      </x:c>
      <x:c r="E65" s="25" t="n">
        <x:v>10</x:v>
      </x:c>
      <x:c r="F65" s="25" t="n">
        <x:v>10</x:v>
      </x:c>
      <x:c r="G65" s="25" t="n">
        <x:v>30</x:v>
      </x:c>
      <x:c r="H65" s="26" t="str">
        <x:v>Costume Bloody Zombie Convict Kids；Costume Gothic Princess Kids；Costume Dark Spirit Reaper Kids</x:v>
      </x:c>
      <x:c r="I65" s="26" t="str">
        <x:v>Halloween Catalogue 2026</x:v>
      </x:c>
      <x:c r="J65" s="26" t="str">
        <x:v>SKU精确匹配</x:v>
      </x:c>
    </x:row>
    <x:row r="66">
      <x:c r="A66" s="24" t="str">
        <x:v>HB KAWANA</x:v>
      </x:c>
      <x:c r="B66" s="24" t="str">
        <x:v>19</x:v>
      </x:c>
      <x:c r="C66" s="24" t="str">
        <x:v>万圣节</x:v>
      </x:c>
      <x:c r="D66" s="24" t="str">
        <x:v>装扮与配饰</x:v>
      </x:c>
      <x:c r="E66" s="25" t="n">
        <x:v>5</x:v>
      </x:c>
      <x:c r="F66" s="25" t="n">
        <x:v>5</x:v>
      </x:c>
      <x:c r="G66" s="25" t="n">
        <x:v>132</x:v>
      </x:c>
      <x:c r="H66" s="26" t="str">
        <x:v>Spooky Dazzling Dangling Earrings Asst；Bloom Butterfly Set Asst；Golden Skeleton Award Asst</x:v>
      </x:c>
      <x:c r="I66" s="26" t="str">
        <x:v>Halloween Catalogue 2026</x:v>
      </x:c>
      <x:c r="J66" s="26" t="str">
        <x:v>SKU精确匹配</x:v>
      </x:c>
    </x:row>
    <x:row r="67">
      <x:c r="A67" s="24" t="str">
        <x:v>HB KAWANA</x:v>
      </x:c>
      <x:c r="B67" s="24" t="str">
        <x:v>19</x:v>
      </x:c>
      <x:c r="C67" s="24" t="str">
        <x:v>万圣节</x:v>
      </x:c>
      <x:c r="D67" s="24" t="str">
        <x:v>女巫</x:v>
      </x:c>
      <x:c r="E67" s="25" t="n">
        <x:v>5</x:v>
      </x:c>
      <x:c r="F67" s="25" t="n">
        <x:v>5</x:v>
      </x:c>
      <x:c r="G67" s="25" t="n">
        <x:v>15</x:v>
      </x:c>
      <x:c r="H67" s="26" t="str">
        <x:v>Costume Twilight Spellcaster Witch Kids；Costume Starlight Witch Kids；Costume Dark Enchantress Witch Adults</x:v>
      </x:c>
      <x:c r="I67" s="26" t="str">
        <x:v>Halloween Catalogue 2026</x:v>
      </x:c>
      <x:c r="J67" s="26" t="str">
        <x:v>SKU精确匹配</x:v>
      </x:c>
    </x:row>
    <x:row r="68">
      <x:c r="A68" s="24" t="str">
        <x:v>HB KAWANA</x:v>
      </x:c>
      <x:c r="B68" s="24" t="str">
        <x:v>19</x:v>
      </x:c>
      <x:c r="C68" s="24" t="str">
        <x:v>万圣节</x:v>
      </x:c>
      <x:c r="D68" s="24" t="str">
        <x:v>骷髅与骨头</x:v>
      </x:c>
      <x:c r="E68" s="25" t="n">
        <x:v>5</x:v>
      </x:c>
      <x:c r="F68" s="25" t="n">
        <x:v>5</x:v>
      </x:c>
      <x:c r="G68" s="25" t="n">
        <x:v>15</x:v>
      </x:c>
      <x:c r="H68" s="26" t="str">
        <x:v>Costume Ghostly Glam Skeleton Kids；Costume Spookster Skeleton Kids；Costume Phantom Reaper Skeleton Kids</x:v>
      </x:c>
      <x:c r="I68" s="26" t="str">
        <x:v>Halloween Catalogue 2026</x:v>
      </x:c>
      <x:c r="J68" s="26" t="str">
        <x:v>SKU精确匹配</x:v>
      </x:c>
    </x:row>
    <x:row r="69">
      <x:c r="A69" s="24" t="str">
        <x:v>HB KAWANA</x:v>
      </x:c>
      <x:c r="B69" s="24" t="str">
        <x:v>19</x:v>
      </x:c>
      <x:c r="C69" s="24" t="str">
        <x:v>万圣节</x:v>
      </x:c>
      <x:c r="D69" s="24" t="str">
        <x:v>不给糖就捣蛋与派对</x:v>
      </x:c>
      <x:c r="E69" s="25" t="n">
        <x:v>4</x:v>
      </x:c>
      <x:c r="F69" s="25" t="n">
        <x:v>4</x:v>
      </x:c>
      <x:c r="G69" s="25" t="n">
        <x:v>144</x:v>
      </x:c>
      <x:c r="H69" s="26" t="str">
        <x:v>Halloween Shopper Bag 40cm Asst；Non-Woven Printed Tote Bag 32cm Asst；Creepy Tablecloth 2.6m x 1.3m Asst</x:v>
      </x:c>
      <x:c r="I69" s="26" t="str">
        <x:v>Halloween Catalogue 2026</x:v>
      </x:c>
      <x:c r="J69" s="26" t="str">
        <x:v>SKU精确匹配</x:v>
      </x:c>
    </x:row>
    <x:row r="70">
      <x:c r="A70" s="24" t="str">
        <x:v>HB KAWANA</x:v>
      </x:c>
      <x:c r="B70" s="24" t="str">
        <x:v>19</x:v>
      </x:c>
      <x:c r="C70" s="24" t="str">
        <x:v>万圣节</x:v>
      </x:c>
      <x:c r="D70" s="24" t="str">
        <x:v>万圣节装饰</x:v>
      </x:c>
      <x:c r="E70" s="25" t="n">
        <x:v>4</x:v>
      </x:c>
      <x:c r="F70" s="25" t="n">
        <x:v>4</x:v>
      </x:c>
      <x:c r="G70" s="25" t="n">
        <x:v>84</x:v>
      </x:c>
      <x:c r="H70" s="26" t="str">
        <x:v>Halloween Holographic Garland 3m Asst；Hanging Friendly Frights Deco Asst；Spooky Tinsel with Shapes 2.6m Asst</x:v>
      </x:c>
      <x:c r="I70" s="26" t="str">
        <x:v>Halloween Catalogue 2026</x:v>
      </x:c>
      <x:c r="J70" s="26" t="str">
        <x:v>SKU精确匹配</x:v>
      </x:c>
    </x:row>
    <x:row r="71">
      <x:c r="A71" s="24" t="str">
        <x:v>HB KAWANA</x:v>
      </x:c>
      <x:c r="B71" s="24" t="str">
        <x:v>19</x:v>
      </x:c>
      <x:c r="C71" s="24" t="str">
        <x:v>万圣节</x:v>
      </x:c>
      <x:c r="D71" s="24" t="str">
        <x:v>武器道具</x:v>
      </x:c>
      <x:c r="E71" s="25" t="n">
        <x:v>3</x:v>
      </x:c>
      <x:c r="F71" s="25" t="n">
        <x:v>4</x:v>
      </x:c>
      <x:c r="G71" s="25" t="n">
        <x:v>72</x:v>
      </x:c>
      <x:c r="H71" s="26" t="str">
        <x:v>Retractable Knife 19cm；Bloody Axe 35cm；Madness Baseball 72cm</x:v>
      </x:c>
      <x:c r="I71" s="26" t="str">
        <x:v>Halloween Catalogue 2026</x:v>
      </x:c>
      <x:c r="J71" s="26" t="str">
        <x:v>SKU精确匹配</x:v>
      </x:c>
    </x:row>
    <x:row r="72">
      <x:c r="A72" s="24" t="str">
        <x:v>HB KAWANA</x:v>
      </x:c>
      <x:c r="B72" s="24" t="str">
        <x:v>19</x:v>
      </x:c>
      <x:c r="C72" s="24" t="str">
        <x:v>万圣节</x:v>
      </x:c>
      <x:c r="D72" s="24" t="str">
        <x:v>吸血鬼</x:v>
      </x:c>
      <x:c r="E72" s="25" t="n">
        <x:v>4</x:v>
      </x:c>
      <x:c r="F72" s="25" t="n">
        <x:v>4</x:v>
      </x:c>
      <x:c r="G72" s="25" t="n">
        <x:v>12</x:v>
      </x:c>
      <x:c r="H72" s="26" t="str">
        <x:v>Costume Vampire Queen Adult；Costume Little Count Dracula Kids；Costume Empress of the Blood Moon Adult</x:v>
      </x:c>
      <x:c r="I72" s="26" t="str">
        <x:v>Halloween Catalogue 2026</x:v>
      </x:c>
      <x:c r="J72" s="26" t="str">
        <x:v>SKU精确匹配</x:v>
      </x:c>
    </x:row>
    <x:row r="73">
      <x:c r="A73" s="24" t="str">
        <x:v>HB KAWANA</x:v>
      </x:c>
      <x:c r="B73" s="24" t="str">
        <x:v>19</x:v>
      </x:c>
      <x:c r="C73" s="24" t="str">
        <x:v>万圣节</x:v>
      </x:c>
      <x:c r="D73" s="24" t="str">
        <x:v>邪恶恐怖</x:v>
      </x:c>
      <x:c r="E73" s="25" t="n">
        <x:v>3</x:v>
      </x:c>
      <x:c r="F73" s="25" t="n">
        <x:v>3</x:v>
      </x:c>
      <x:c r="G73" s="25" t="n">
        <x:v>12</x:v>
      </x:c>
      <x:c r="H73" s="26" t="str">
        <x:v>Costume Horror Killer Kids；Costume Morbid Schoolgirl Adults；Costume Horror Killer Adults</x:v>
      </x:c>
      <x:c r="I73" s="26" t="str">
        <x:v>Halloween Catalogue 2026</x:v>
      </x:c>
      <x:c r="J73" s="26" t="str">
        <x:v>SKU精确匹配</x:v>
      </x:c>
    </x:row>
    <x:row r="74">
      <x:c r="A74" s="24" t="str">
        <x:v>HB KAWANA</x:v>
      </x:c>
      <x:c r="B74" s="24" t="str">
        <x:v>19</x:v>
      </x:c>
      <x:c r="C74" s="24" t="str">
        <x:v>万圣节</x:v>
      </x:c>
      <x:c r="D74" s="24" t="str">
        <x:v>儿童趣味</x:v>
      </x:c>
      <x:c r="E74" s="25" t="n">
        <x:v>2</x:v>
      </x:c>
      <x:c r="F74" s="25" t="n">
        <x:v>2</x:v>
      </x:c>
      <x:c r="G74" s="25" t="n">
        <x:v>48</x:v>
      </x:c>
      <x:c r="H74" s="26" t="str">
        <x:v>Spooktacular Duckie Asst；Squishy Eye Ball Asst</x:v>
      </x:c>
      <x:c r="I74" s="26" t="str">
        <x:v>Halloween Catalogue 2026</x:v>
      </x:c>
      <x:c r="J74" s="26" t="str">
        <x:v>SKU精确匹配</x:v>
      </x:c>
    </x:row>
    <x:row r="75">
      <x:c r="A75" s="24" t="str">
        <x:v>HB KAWANA</x:v>
      </x:c>
      <x:c r="B75" s="24" t="str">
        <x:v>19</x:v>
      </x:c>
      <x:c r="C75" s="24" t="str">
        <x:v>万圣节</x:v>
      </x:c>
      <x:c r="D75" s="24" t="str">
        <x:v>僵尸</x:v>
      </x:c>
      <x:c r="E75" s="25" t="n">
        <x:v>2</x:v>
      </x:c>
      <x:c r="F75" s="25" t="n">
        <x:v>2</x:v>
      </x:c>
      <x:c r="G75" s="25" t="n">
        <x:v>6</x:v>
      </x:c>
      <x:c r="H75" s="26" t="str">
        <x:v>Costume Zombie Prisoner Kids；Costume Zombie Prom Queen Kids</x:v>
      </x:c>
      <x:c r="I75" s="26" t="str">
        <x:v>Halloween Catalogue 2026</x:v>
      </x:c>
      <x:c r="J75" s="26" t="str">
        <x:v>SKU精确匹配</x:v>
      </x:c>
    </x:row>
    <x:row r="76">
      <x:c r="A76" s="24" t="str">
        <x:v>HB KAWANA</x:v>
      </x:c>
      <x:c r="B76" s="24" t="str">
        <x:v>19</x:v>
      </x:c>
      <x:c r="C76" s="24" t="str">
        <x:v>万圣节</x:v>
      </x:c>
      <x:c r="D76" s="24" t="str">
        <x:v>粉色恐怖</x:v>
      </x:c>
      <x:c r="E76" s="25" t="n">
        <x:v>2</x:v>
      </x:c>
      <x:c r="F76" s="25" t="n">
        <x:v>2</x:v>
      </x:c>
      <x:c r="G76" s="25" t="n">
        <x:v>6</x:v>
      </x:c>
      <x:c r="H76" s="26" t="str">
        <x:v>Costume Pink Scream Kids；Costume Pink Scream Adults</x:v>
      </x:c>
      <x:c r="I76" s="26" t="str">
        <x:v>Halloween Catalogue 2026</x:v>
      </x:c>
      <x:c r="J76" s="26" t="str">
        <x:v>SKU精确匹配</x:v>
      </x:c>
    </x:row>
    <x:row r="77">
      <x:c r="A77" s="24" t="str">
        <x:v>HB KAWANA</x:v>
      </x:c>
      <x:c r="B77" s="24" t="str">
        <x:v>19</x:v>
      </x:c>
      <x:c r="C77" s="24" t="str">
        <x:v>万圣节</x:v>
      </x:c>
      <x:c r="D77" s="24" t="str">
        <x:v>恶魔</x:v>
      </x:c>
      <x:c r="E77" s="25" t="n">
        <x:v>2</x:v>
      </x:c>
      <x:c r="F77" s="25" t="n">
        <x:v>2</x:v>
      </x:c>
      <x:c r="G77" s="25" t="n">
        <x:v>6</x:v>
      </x:c>
      <x:c r="H77" s="26" t="str">
        <x:v>Costume Firestorm Devil Kids；Costume Hellfire Devil Adults</x:v>
      </x:c>
      <x:c r="I77" s="26" t="str">
        <x:v>Halloween Catalogue 2026</x:v>
      </x:c>
      <x:c r="J77" s="26" t="str">
        <x:v>SKU精确匹配</x:v>
      </x:c>
    </x:row>
    <x:row r="78">
      <x:c r="A78" s="24" t="str">
        <x:v>HB KAWANA</x:v>
      </x:c>
      <x:c r="B78" s="24" t="str">
        <x:v>19</x:v>
      </x:c>
      <x:c r="C78" s="24" t="str">
        <x:v>万圣节</x:v>
      </x:c>
      <x:c r="D78" s="24" t="str">
        <x:v>疯人院</x:v>
      </x:c>
      <x:c r="E78" s="25" t="n">
        <x:v>2</x:v>
      </x:c>
      <x:c r="F78" s="25" t="n">
        <x:v>2</x:v>
      </x:c>
      <x:c r="G78" s="25" t="n">
        <x:v>6</x:v>
      </x:c>
      <x:c r="H78" s="26" t="str">
        <x:v>Costume Bloody Bride Adults；Costume Bloody Nurse Adults</x:v>
      </x:c>
      <x:c r="I78" s="26" t="str">
        <x:v>Halloween Catalogue 2026</x:v>
      </x:c>
      <x:c r="J78" s="26" t="str">
        <x:v>SKU精确匹配</x:v>
      </x:c>
    </x:row>
    <x:row r="79">
      <x:c r="A79" s="24" t="str">
        <x:v>HB KAWANA</x:v>
      </x:c>
      <x:c r="B79" s="24" t="str">
        <x:v>19</x:v>
      </x:c>
      <x:c r="C79" s="24" t="str">
        <x:v>万圣节</x:v>
      </x:c>
      <x:c r="D79" s="24" t="str">
        <x:v>面具</x:v>
      </x:c>
      <x:c r="E79" s="25" t="n">
        <x:v>1</x:v>
      </x:c>
      <x:c r="F79" s="25" t="n">
        <x:v>1</x:v>
      </x:c>
      <x:c r="G79" s="25" t="n">
        <x:v>24</x:v>
      </x:c>
      <x:c r="H79" s="26" t="str">
        <x:v>Creepy Clown Asst</x:v>
      </x:c>
      <x:c r="I79" s="26" t="str">
        <x:v>Halloween Catalogue 2026</x:v>
      </x:c>
      <x:c r="J79" s="26" t="str">
        <x:v>SKU精确匹配</x:v>
      </x:c>
    </x:row>
    <x:row r="80">
      <x:c r="A80" s="24" t="str">
        <x:v>HB KAWANA</x:v>
      </x:c>
      <x:c r="B80" s="24" t="str">
        <x:v>19</x:v>
      </x:c>
      <x:c r="C80" s="24" t="str">
        <x:v>万圣节</x:v>
      </x:c>
      <x:c r="D80" s="24" t="str">
        <x:v>特效与化妆</x:v>
      </x:c>
      <x:c r="E80" s="25" t="n">
        <x:v>1</x:v>
      </x:c>
      <x:c r="F80" s="25" t="n">
        <x:v>1</x:v>
      </x:c>
      <x:c r="G80" s="25" t="n">
        <x:v>24</x:v>
      </x:c>
      <x:c r="H80" s="26" t="str">
        <x:v>Fake Vomit 28.3g</x:v>
      </x:c>
      <x:c r="I80" s="26" t="str">
        <x:v>Halloween Catalogue 2026</x:v>
      </x:c>
      <x:c r="J80" s="26" t="str">
        <x:v>SKU精确匹配</x:v>
      </x:c>
    </x:row>
    <x:row r="81">
      <x:c r="A81" s="24" t="str">
        <x:v>HB KAWANA</x:v>
      </x:c>
      <x:c r="B81" s="24" t="str">
        <x:v>19</x:v>
      </x:c>
      <x:c r="C81" s="24" t="str">
        <x:v>圣诞普通商品</x:v>
      </x:c>
      <x:c r="D81" s="24" t="str">
        <x:v>花材与枝叶</x:v>
      </x:c>
      <x:c r="E81" s="25" t="n">
        <x:v>3</x:v>
      </x:c>
      <x:c r="F81" s="25" t="n">
        <x:v>7</x:v>
      </x:c>
      <x:c r="G81" s="25" t="n">
        <x:v>192</x:v>
      </x:c>
      <x:c r="H81" s="26" t="str">
        <x:v>Holly &amp; Berries Garland 2.7m；Candycane Leaf Deco Pick 18cm Asst；Glitter Magnolia Clip Asst</x:v>
      </x:c>
      <x:c r="I81" s="26" t="str">
        <x:v>Christmas General 2026</x:v>
      </x:c>
      <x:c r="J81" s="26" t="str">
        <x:v>SKU精确匹配</x:v>
      </x:c>
    </x:row>
    <x:row r="82">
      <x:c r="A82" s="24" t="str">
        <x:v>HB KAWANA</x:v>
      </x:c>
      <x:c r="B82" s="24" t="str">
        <x:v>19</x:v>
      </x:c>
      <x:c r="C82" s="24" t="str">
        <x:v>圣诞普通商品</x:v>
      </x:c>
      <x:c r="D82" s="24" t="str">
        <x:v>铃铛</x:v>
      </x:c>
      <x:c r="E82" s="25" t="n">
        <x:v>2</x:v>
      </x:c>
      <x:c r="F82" s="25" t="n">
        <x:v>3</x:v>
      </x:c>
      <x:c r="G82" s="25" t="n">
        <x:v>18</x:v>
      </x:c>
      <x:c r="H82" s="26" t="str">
        <x:v>Twin Bells Hanger Metallic Decos Asst；Hammered Bell with Deco 25cm Asst</x:v>
      </x:c>
      <x:c r="I82" s="26" t="str">
        <x:v>Christmas General 2026</x:v>
      </x:c>
      <x:c r="J82" s="26" t="str">
        <x:v>SKU精确匹配</x:v>
      </x:c>
    </x:row>
    <x:row r="83">
      <x:c r="A83" s="24" t="str">
        <x:v>HB KAWANA</x:v>
      </x:c>
      <x:c r="B83" s="24" t="str">
        <x:v>19</x:v>
      </x:c>
      <x:c r="C83" s="24" t="str">
        <x:v>圣诞普通商品</x:v>
      </x:c>
      <x:c r="D83" s="24" t="str">
        <x:v>糖果手杖主题</x:v>
      </x:c>
      <x:c r="E83" s="25" t="n">
        <x:v>2</x:v>
      </x:c>
      <x:c r="F83" s="25" t="n">
        <x:v>2</x:v>
      </x:c>
      <x:c r="G83" s="25" t="n">
        <x:v>32</x:v>
      </x:c>
      <x:c r="H83" s="26" t="str">
        <x:v>Hanging Gingerbread Deco 12cm Asst；Candy Waffle Train Deco Asst</x:v>
      </x:c>
      <x:c r="I83" s="26" t="str">
        <x:v>Christmas General 2026</x:v>
      </x:c>
      <x:c r="J83" s="26" t="str">
        <x:v>SKU精确匹配</x:v>
      </x:c>
    </x:row>
    <x:row r="84">
      <x:c r="A84" s="24" t="str">
        <x:v>HB KAWANA</x:v>
      </x:c>
      <x:c r="B84" s="24" t="str">
        <x:v>19</x:v>
      </x:c>
      <x:c r="C84" s="24" t="str">
        <x:v>圣诞普通商品</x:v>
      </x:c>
      <x:c r="D84" s="24" t="str">
        <x:v>林地丝绒主题</x:v>
      </x:c>
      <x:c r="E84" s="25" t="n">
        <x:v>1</x:v>
      </x:c>
      <x:c r="F84" s="25" t="n">
        <x:v>1</x:v>
      </x:c>
      <x:c r="G84" s="25" t="n">
        <x:v>36</x:v>
      </x:c>
      <x:c r="H84" s="26" t="str">
        <x:v>Velvet Ribbon Bow Clip 4pk Asst</x:v>
      </x:c>
      <x:c r="I84" s="26" t="str">
        <x:v>Christmas General 2026</x:v>
      </x:c>
      <x:c r="J84" s="26" t="str">
        <x:v>SKU精确匹配</x:v>
      </x:c>
    </x:row>
    <x:row r="85">
      <x:c r="A85" s="24" t="str">
        <x:v>HB KAWANA</x:v>
      </x:c>
      <x:c r="B85" s="24" t="str">
        <x:v>19</x:v>
      </x:c>
      <x:c r="C85" s="24" t="str">
        <x:v>圣诞普通商品</x:v>
      </x:c>
      <x:c r="D85" s="24" t="str">
        <x:v>奢华传统主题</x:v>
      </x:c>
      <x:c r="E85" s="25" t="n">
        <x:v>1</x:v>
      </x:c>
      <x:c r="F85" s="25" t="n">
        <x:v>1</x:v>
      </x:c>
      <x:c r="G85" s="25" t="n">
        <x:v>24</x:v>
      </x:c>
      <x:c r="H85" s="26" t="str">
        <x:v>Heritage Flocked Berry Spray 43cm Asst</x:v>
      </x:c>
      <x:c r="I85" s="26" t="str">
        <x:v>Christmas General 2026</x:v>
      </x:c>
      <x:c r="J85" s="26" t="str">
        <x:v>SKU精确匹配</x:v>
      </x:c>
    </x:row>
    <x:row r="86">
      <x:c r="A86" s="24" t="str">
        <x:v>HB KAWANA</x:v>
      </x:c>
      <x:c r="B86" s="24" t="str">
        <x:v>19</x:v>
      </x:c>
      <x:c r="C86" s="24" t="str">
        <x:v>圣诞普通商品</x:v>
      </x:c>
      <x:c r="D86" s="24" t="str">
        <x:v>厨房用品</x:v>
      </x:c>
      <x:c r="E86" s="25" t="n">
        <x:v>1</x:v>
      </x:c>
      <x:c r="F86" s="25" t="n">
        <x:v>1</x:v>
      </x:c>
      <x:c r="G86" s="25" t="n">
        <x:v>24</x:v>
      </x:c>
      <x:c r="H86" s="26" t="str">
        <x:v>Cotton Tea Towel Asst</x:v>
      </x:c>
      <x:c r="I86" s="26" t="str">
        <x:v>Christmas General 2026</x:v>
      </x:c>
      <x:c r="J86" s="26" t="str">
        <x:v>SKU精确匹配</x:v>
      </x:c>
    </x:row>
    <x:row r="87">
      <x:c r="A87" s="24" t="str">
        <x:v>HB KAWANA</x:v>
      </x:c>
      <x:c r="B87" s="24" t="str">
        <x:v>19</x:v>
      </x:c>
      <x:c r="C87" s="24" t="str">
        <x:v>圣诞灯饰</x:v>
      </x:c>
      <x:c r="D87" s="24" t="str">
        <x:v>基础 LED 灯串</x:v>
      </x:c>
      <x:c r="E87" s="25" t="n">
        <x:v>1</x:v>
      </x:c>
      <x:c r="F87" s="25" t="n">
        <x:v>3</x:v>
      </x:c>
      <x:c r="G87" s="25" t="n">
        <x:v>12</x:v>
      </x:c>
      <x:c r="H87" s="26" t="str">
        <x:v>LED Frosted Ball Lights 400 Asst</x:v>
      </x:c>
      <x:c r="I87" s="26" t="str">
        <x:v>Christmas Lighting 2026</x:v>
      </x:c>
      <x:c r="J87" s="26" t="str">
        <x:v>SKU精确匹配</x:v>
      </x:c>
    </x:row>
    <x:row r="88">
      <x:c r="A88" s="24" t="str">
        <x:v>HB KAWANA</x:v>
      </x:c>
      <x:c r="B88" s="24" t="str">
        <x:v>19</x:v>
      </x:c>
      <x:c r="C88" s="24" t="str">
        <x:v>圣诞灯饰</x:v>
      </x:c>
      <x:c r="D88" s="24" t="str">
        <x:v>电池灯饰</x:v>
      </x:c>
      <x:c r="E88" s="25" t="n">
        <x:v>1</x:v>
      </x:c>
      <x:c r="F88" s="25" t="n">
        <x:v>2</x:v>
      </x:c>
      <x:c r="G88" s="25" t="n">
        <x:v>48</x:v>
      </x:c>
      <x:c r="H88" s="26" t="str">
        <x:v>Star Colour Change Lights 20pc</x:v>
      </x:c>
      <x:c r="I88" s="26" t="str">
        <x:v>Christmas Lighting 2026</x:v>
      </x:c>
      <x:c r="J88" s="26" t="str">
        <x:v>SKU精确匹配</x:v>
      </x:c>
    </x:row>
    <x:row r="89">
      <x:c r="A89" s="24" t="str">
        <x:v>HB KAWANA</x:v>
      </x:c>
      <x:c r="B89" s="24" t="str">
        <x:v>19</x:v>
      </x:c>
      <x:c r="C89" s="24" t="str">
        <x:v>圣诞灯饰</x:v>
      </x:c>
      <x:c r="D89" s="24" t="str">
        <x:v>太阳能灯饰</x:v>
      </x:c>
      <x:c r="E89" s="25" t="n">
        <x:v>1</x:v>
      </x:c>
      <x:c r="F89" s="25" t="n">
        <x:v>2</x:v>
      </x:c>
      <x:c r="G89" s="25" t="n">
        <x:v>12</x:v>
      </x:c>
      <x:c r="H89" s="26" t="str">
        <x:v>Solar Icicle Lights 80pk Multi/White Asst</x:v>
      </x:c>
      <x:c r="I89" s="26" t="str">
        <x:v>Christmas Lighting 2026</x:v>
      </x:c>
      <x:c r="J89" s="26" t="str">
        <x:v>SKU精确匹配</x:v>
      </x:c>
    </x:row>
    <x:row r="90">
      <x:c r="A90" s="24" t="str">
        <x:v>HB KAWANA</x:v>
      </x:c>
      <x:c r="B90" s="24" t="str">
        <x:v>19</x:v>
      </x:c>
      <x:c r="C90" s="24" t="str">
        <x:v>圣诞灯饰</x:v>
      </x:c>
      <x:c r="D90" s="24" t="str">
        <x:v>创意灯饰</x:v>
      </x:c>
      <x:c r="E90" s="25" t="n">
        <x:v>1</x:v>
      </x:c>
      <x:c r="F90" s="25" t="n">
        <x:v>2</x:v>
      </x:c>
      <x:c r="G90" s="25" t="n">
        <x:v>12</x:v>
      </x:c>
      <x:c r="H90" s="26" t="str">
        <x:v>Ladder Light Star Top w/Santa Warm/Multi Asst</x:v>
      </x:c>
      <x:c r="I90" s="26" t="str">
        <x:v>Christmas Lighting 2026</x:v>
      </x:c>
      <x:c r="J90" s="26" t="str">
        <x:v>SKU精确匹配</x:v>
      </x:c>
    </x:row>
    <x:row r="91">
      <x:c r="A91" s="24" t="str">
        <x:v>HB KAWANA</x:v>
      </x:c>
      <x:c r="B91" s="24" t="str">
        <x:v>19</x:v>
      </x:c>
      <x:c r="C91" s="24" t="str">
        <x:v>圣诞灯饰</x:v>
      </x:c>
      <x:c r="D91" s="24" t="str">
        <x:v>灯光圣诞树</x:v>
      </x:c>
      <x:c r="E91" s="25" t="n">
        <x:v>1</x:v>
      </x:c>
      <x:c r="F91" s="25" t="n">
        <x:v>2</x:v>
      </x:c>
      <x:c r="G91" s="25" t="n">
        <x:v>8</x:v>
      </x:c>
      <x:c r="H91" s="26" t="str">
        <x:v>Waterfall Flash Strand Tree 205cm Multi</x:v>
      </x:c>
      <x:c r="I91" s="26" t="str">
        <x:v>Christmas Lighting 2026</x:v>
      </x:c>
      <x:c r="J91" s="26" t="str">
        <x:v>SKU精确匹配</x:v>
      </x:c>
    </x:row>
    <x:row r="92">
      <x:c r="A92" s="24" t="str">
        <x:v>HB KAWANA</x:v>
      </x:c>
      <x:c r="B92" s="24" t="str">
        <x:v>Loose</x:v>
      </x:c>
      <x:c r="C92" s="24" t="str">
        <x:v>圣诞普通商品</x:v>
      </x:c>
      <x:c r="D92" s="24" t="str">
        <x:v>墙面装饰</x:v>
      </x:c>
      <x:c r="E92" s="25" t="n">
        <x:v>1</x:v>
      </x:c>
      <x:c r="F92" s="25" t="n">
        <x:v>2</x:v>
      </x:c>
      <x:c r="G92" s="25" t="n">
        <x:v>24</x:v>
      </x:c>
      <x:c r="H92" s="26" t="str">
        <x:v>Christmas Giant Selfie Frame</x:v>
      </x:c>
      <x:c r="I92" s="26" t="str">
        <x:v>Christmas General 2026</x:v>
      </x:c>
      <x:c r="J92" s="26" t="str">
        <x:v>SKU精确匹配</x:v>
      </x:c>
    </x:row>
    <x:row r="93">
      <x:c r="A93" s="24" t="str">
        <x:v>HB KIPPA RING</x:v>
      </x:c>
      <x:c r="B93" s="24" t="str">
        <x:v>6</x:v>
      </x:c>
      <x:c r="C93" s="24" t="str">
        <x:v>万圣节</x:v>
      </x:c>
      <x:c r="D93" s="24" t="str">
        <x:v>通用服装</x:v>
      </x:c>
      <x:c r="E93" s="25" t="n">
        <x:v>16</x:v>
      </x:c>
      <x:c r="F93" s="25" t="n">
        <x:v>16</x:v>
      </x:c>
      <x:c r="G93" s="25" t="n">
        <x:v>48</x:v>
      </x:c>
      <x:c r="H93" s="26" t="str">
        <x:v>Costume Pumpkin Toddler；Costume Bloody Zombie Convict Kids；Costume Gothic Princess Kids</x:v>
      </x:c>
      <x:c r="I93" s="26" t="str">
        <x:v>Halloween Catalogue 2026</x:v>
      </x:c>
      <x:c r="J93" s="26" t="str">
        <x:v>SKU精确匹配</x:v>
      </x:c>
    </x:row>
    <x:row r="94">
      <x:c r="A94" s="24" t="str">
        <x:v>HB KIPPA RING</x:v>
      </x:c>
      <x:c r="B94" s="24" t="str">
        <x:v>6</x:v>
      </x:c>
      <x:c r="C94" s="24" t="str">
        <x:v>万圣节</x:v>
      </x:c>
      <x:c r="D94" s="24" t="str">
        <x:v>万圣节装饰</x:v>
      </x:c>
      <x:c r="E94" s="25" t="n">
        <x:v>13</x:v>
      </x:c>
      <x:c r="F94" s="25" t="n">
        <x:v>14</x:v>
      </x:c>
      <x:c r="G94" s="25" t="n">
        <x:v>324</x:v>
      </x:c>
      <x:c r="H94" s="26" t="str">
        <x:v>Tinsel Laser Mix 2m Asst；Eye Balls 12pk Asst；Warning Fright Tapes 9m Asst</x:v>
      </x:c>
      <x:c r="I94" s="26" t="str">
        <x:v>Halloween Catalogue 2026</x:v>
      </x:c>
      <x:c r="J94" s="26" t="str">
        <x:v>SKU精确匹配</x:v>
      </x:c>
    </x:row>
    <x:row r="95">
      <x:c r="A95" s="24" t="str">
        <x:v>HB KIPPA RING</x:v>
      </x:c>
      <x:c r="B95" s="24" t="str">
        <x:v>6</x:v>
      </x:c>
      <x:c r="C95" s="24" t="str">
        <x:v>万圣节</x:v>
      </x:c>
      <x:c r="D95" s="24" t="str">
        <x:v>恐怖嘉年华</x:v>
      </x:c>
      <x:c r="E95" s="25" t="n">
        <x:v>12</x:v>
      </x:c>
      <x:c r="F95" s="25" t="n">
        <x:v>12</x:v>
      </x:c>
      <x:c r="G95" s="25" t="n">
        <x:v>60</x:v>
      </x:c>
      <x:c r="H95" s="26" t="str">
        <x:v>Sinister Clown Mask Asst；Costume Freak Show Ringmaster Adults；Costume Evil Carnival Clown Adults</x:v>
      </x:c>
      <x:c r="I95" s="26" t="str">
        <x:v>Halloween Catalogue 2026</x:v>
      </x:c>
      <x:c r="J95" s="26" t="str">
        <x:v>SKU精确匹配</x:v>
      </x:c>
    </x:row>
    <x:row r="96">
      <x:c r="A96" s="24" t="str">
        <x:v>HB KIPPA RING</x:v>
      </x:c>
      <x:c r="B96" s="24" t="str">
        <x:v>6</x:v>
      </x:c>
      <x:c r="C96" s="24" t="str">
        <x:v>万圣节</x:v>
      </x:c>
      <x:c r="D96" s="24" t="str">
        <x:v>邪恶恐怖</x:v>
      </x:c>
      <x:c r="E96" s="25" t="n">
        <x:v>9</x:v>
      </x:c>
      <x:c r="F96" s="25" t="n">
        <x:v>10</x:v>
      </x:c>
      <x:c r="G96" s="25" t="n">
        <x:v>75</x:v>
      </x:c>
      <x:c r="H96" s="26" t="str">
        <x:v>Demon Mask；Costume Horror Killer Kids；Costume Killer Doll Kids</x:v>
      </x:c>
      <x:c r="I96" s="26" t="str">
        <x:v>Halloween Catalogue 2026</x:v>
      </x:c>
      <x:c r="J96" s="26" t="str">
        <x:v>SKU精确匹配</x:v>
      </x:c>
    </x:row>
    <x:row r="97">
      <x:c r="A97" s="24" t="str">
        <x:v>HB KIPPA RING</x:v>
      </x:c>
      <x:c r="B97" s="24" t="str">
        <x:v>6</x:v>
      </x:c>
      <x:c r="C97" s="24" t="str">
        <x:v>万圣节</x:v>
      </x:c>
      <x:c r="D97" s="24" t="str">
        <x:v>特效与化妆</x:v>
      </x:c>
      <x:c r="E97" s="25" t="n">
        <x:v>9</x:v>
      </x:c>
      <x:c r="F97" s="25" t="n">
        <x:v>9</x:v>
      </x:c>
      <x:c r="G97" s="25" t="n">
        <x:v>336</x:v>
      </x:c>
      <x:c r="H97" s="26" t="str">
        <x:v>Face Paint Asst；Horror Face Paint Set Asst；Fake Blood 14mL</x:v>
      </x:c>
      <x:c r="I97" s="26" t="str">
        <x:v>Halloween Catalogue 2026</x:v>
      </x:c>
      <x:c r="J97" s="26" t="str">
        <x:v>SKU精确匹配</x:v>
      </x:c>
    </x:row>
    <x:row r="98">
      <x:c r="A98" s="24" t="str">
        <x:v>HB KIPPA RING</x:v>
      </x:c>
      <x:c r="B98" s="24" t="str">
        <x:v>6</x:v>
      </x:c>
      <x:c r="C98" s="24" t="str">
        <x:v>万圣节</x:v>
      </x:c>
      <x:c r="D98" s="24" t="str">
        <x:v>女巫</x:v>
      </x:c>
      <x:c r="E98" s="25" t="n">
        <x:v>8</x:v>
      </x:c>
      <x:c r="F98" s="25" t="n">
        <x:v>8</x:v>
      </x:c>
      <x:c r="G98" s="25" t="n">
        <x:v>60</x:v>
      </x:c>
      <x:c r="H98" s="26" t="str">
        <x:v>Witch Hat Asst；Witch Accessories Set Kids；Costume Darkwood Witch Adults</x:v>
      </x:c>
      <x:c r="I98" s="26" t="str">
        <x:v>Halloween Catalogue 2026</x:v>
      </x:c>
      <x:c r="J98" s="26" t="str">
        <x:v>SKU精确匹配</x:v>
      </x:c>
    </x:row>
    <x:row r="99">
      <x:c r="A99" s="24" t="str">
        <x:v>HB KIPPA RING</x:v>
      </x:c>
      <x:c r="B99" s="24" t="str">
        <x:v>6</x:v>
      </x:c>
      <x:c r="C99" s="24" t="str">
        <x:v>万圣节</x:v>
      </x:c>
      <x:c r="D99" s="24" t="str">
        <x:v>不给糖就捣蛋与派对</x:v>
      </x:c>
      <x:c r="E99" s="25" t="n">
        <x:v>7</x:v>
      </x:c>
      <x:c r="F99" s="25" t="n">
        <x:v>7</x:v>
      </x:c>
      <x:c r="G99" s="25" t="n">
        <x:v>288</x:v>
      </x:c>
      <x:c r="H99" s="26" t="str">
        <x:v>Halloween Paper Plate 23cm 6pk Asst；Halloween Napkins 20pk Asst；Trick Or Treat Bucket With Handle 15cm Asst</x:v>
      </x:c>
      <x:c r="I99" s="26" t="str">
        <x:v>Halloween Catalogue 2026</x:v>
      </x:c>
      <x:c r="J99" s="26" t="str">
        <x:v>SKU精确匹配</x:v>
      </x:c>
    </x:row>
    <x:row r="100">
      <x:c r="A100" s="24" t="str">
        <x:v>HB KIPPA RING</x:v>
      </x:c>
      <x:c r="B100" s="24" t="str">
        <x:v>6</x:v>
      </x:c>
      <x:c r="C100" s="24" t="str">
        <x:v>万圣节</x:v>
      </x:c>
      <x:c r="D100" s="24" t="str">
        <x:v>吸血鬼</x:v>
      </x:c>
      <x:c r="E100" s="25" t="n">
        <x:v>7</x:v>
      </x:c>
      <x:c r="F100" s="25" t="n">
        <x:v>7</x:v>
      </x:c>
      <x:c r="G100" s="25" t="n">
        <x:v>84</x:v>
      </x:c>
      <x:c r="H100" s="26" t="str">
        <x:v>Vampire G.I.D Teeth 6cm 10pk；Blood and Vampire Teeth Asst；Vampire Cape 1.4m</x:v>
      </x:c>
      <x:c r="I100" s="26" t="str">
        <x:v>Halloween Catalogue 2026</x:v>
      </x:c>
      <x:c r="J100" s="26" t="str">
        <x:v>SKU精确匹配</x:v>
      </x:c>
    </x:row>
    <x:row r="101">
      <x:c r="A101" s="24" t="str">
        <x:v>HB KIPPA RING</x:v>
      </x:c>
      <x:c r="B101" s="24" t="str">
        <x:v>6</x:v>
      </x:c>
      <x:c r="C101" s="24" t="str">
        <x:v>万圣节</x:v>
      </x:c>
      <x:c r="D101" s="24" t="str">
        <x:v>装扮与配饰</x:v>
      </x:c>
      <x:c r="E101" s="25" t="n">
        <x:v>6</x:v>
      </x:c>
      <x:c r="F101" s="25" t="n">
        <x:v>6</x:v>
      </x:c>
      <x:c r="G101" s="25" t="n">
        <x:v>174</x:v>
      </x:c>
      <x:c r="H101" s="26" t="str">
        <x:v>Bloody Weapons Earrings Asst；Boo Bling Charm Earrings Asst；Boo Bling Charm Bracelet Asst</x:v>
      </x:c>
      <x:c r="I101" s="26" t="str">
        <x:v>Halloween Catalogue 2026</x:v>
      </x:c>
      <x:c r="J101" s="26" t="str">
        <x:v>SKU精确匹配</x:v>
      </x:c>
    </x:row>
    <x:row r="102">
      <x:c r="A102" s="24" t="str">
        <x:v>HB KIPPA RING</x:v>
      </x:c>
      <x:c r="B102" s="24" t="str">
        <x:v>6</x:v>
      </x:c>
      <x:c r="C102" s="24" t="str">
        <x:v>万圣节</x:v>
      </x:c>
      <x:c r="D102" s="24" t="str">
        <x:v>僵尸</x:v>
      </x:c>
      <x:c r="E102" s="25" t="n">
        <x:v>6</x:v>
      </x:c>
      <x:c r="F102" s="25" t="n">
        <x:v>6</x:v>
      </x:c>
      <x:c r="G102" s="25" t="n">
        <x:v>60</x:v>
      </x:c>
      <x:c r="H102" s="26" t="str">
        <x:v>Zombie Makeup Asst；Bloody Weapons Asst；Costume Zombie Prisoner Kids</x:v>
      </x:c>
      <x:c r="I102" s="26" t="str">
        <x:v>Halloween Catalogue 2026</x:v>
      </x:c>
      <x:c r="J102" s="26" t="str">
        <x:v>SKU精确匹配</x:v>
      </x:c>
    </x:row>
    <x:row r="103">
      <x:c r="A103" s="24" t="str">
        <x:v>HB KIPPA RING</x:v>
      </x:c>
      <x:c r="B103" s="24" t="str">
        <x:v>6</x:v>
      </x:c>
      <x:c r="C103" s="24" t="str">
        <x:v>万圣节</x:v>
      </x:c>
      <x:c r="D103" s="24" t="str">
        <x:v>武器道具</x:v>
      </x:c>
      <x:c r="E103" s="25" t="n">
        <x:v>5</x:v>
      </x:c>
      <x:c r="F103" s="25" t="n">
        <x:v>5</x:v>
      </x:c>
      <x:c r="G103" s="25" t="n">
        <x:v>120</x:v>
      </x:c>
      <x:c r="H103" s="26" t="str">
        <x:v>Retractable Knife 19cm；Retractable Knife 25.5cm；Bloody Dagger 33cm</x:v>
      </x:c>
      <x:c r="I103" s="26" t="str">
        <x:v>Halloween Catalogue 2026</x:v>
      </x:c>
      <x:c r="J103" s="26" t="str">
        <x:v>SKU精确匹配</x:v>
      </x:c>
    </x:row>
    <x:row r="104">
      <x:c r="A104" s="24" t="str">
        <x:v>HB KIPPA RING</x:v>
      </x:c>
      <x:c r="B104" s="24" t="str">
        <x:v>6</x:v>
      </x:c>
      <x:c r="C104" s="24" t="str">
        <x:v>万圣节</x:v>
      </x:c>
      <x:c r="D104" s="24" t="str">
        <x:v>骷髅与庭院装饰</x:v>
      </x:c>
      <x:c r="E104" s="25" t="n">
        <x:v>5</x:v>
      </x:c>
      <x:c r="F104" s="25" t="n">
        <x:v>5</x:v>
      </x:c>
      <x:c r="G104" s="25" t="n">
        <x:v>108</x:v>
      </x:c>
      <x:c r="H104" s="26" t="str">
        <x:v>Hanging Neon Skeleton 33cm Asst；Tombstone 41cm Asst；Bony Hand Stake 30cm Asst</x:v>
      </x:c>
      <x:c r="I104" s="26" t="str">
        <x:v>Halloween Catalogue 2026</x:v>
      </x:c>
      <x:c r="J104" s="26" t="str">
        <x:v>SKU精确匹配</x:v>
      </x:c>
    </x:row>
    <x:row r="105">
      <x:c r="A105" s="24" t="str">
        <x:v>HB KIPPA RING</x:v>
      </x:c>
      <x:c r="B105" s="24" t="str">
        <x:v>6</x:v>
      </x:c>
      <x:c r="C105" s="24" t="str">
        <x:v>万圣节</x:v>
      </x:c>
      <x:c r="D105" s="24" t="str">
        <x:v>恶魔</x:v>
      </x:c>
      <x:c r="E105" s="25" t="n">
        <x:v>5</x:v>
      </x:c>
      <x:c r="F105" s="25" t="n">
        <x:v>5</x:v>
      </x:c>
      <x:c r="G105" s="25" t="n">
        <x:v>36</x:v>
      </x:c>
      <x:c r="H105" s="26" t="str">
        <x:v>Devil Accessory Set Kids；Costume Black and Red Devil Kids；Costume Firestorm Devil Kids</x:v>
      </x:c>
      <x:c r="I105" s="26" t="str">
        <x:v>Halloween Catalogue 2026</x:v>
      </x:c>
      <x:c r="J105" s="26" t="str">
        <x:v>SKU精确匹配</x:v>
      </x:c>
    </x:row>
    <x:row r="106">
      <x:c r="A106" s="24" t="str">
        <x:v>HB KIPPA RING</x:v>
      </x:c>
      <x:c r="B106" s="24" t="str">
        <x:v>6</x:v>
      </x:c>
      <x:c r="C106" s="24" t="str">
        <x:v>万圣节</x:v>
      </x:c>
      <x:c r="D106" s="24" t="str">
        <x:v>骷髅与骨头</x:v>
      </x:c>
      <x:c r="E106" s="25" t="n">
        <x:v>5</x:v>
      </x:c>
      <x:c r="F106" s="25" t="n">
        <x:v>5</x:v>
      </x:c>
      <x:c r="G106" s="25" t="n">
        <x:v>18</x:v>
      </x:c>
      <x:c r="H106" s="26" t="str">
        <x:v>Costume G.I.D Skeleton Kids；Costume Fluro Bone Rattler Kids；Costume Phantom Reaper Skeleton Kids</x:v>
      </x:c>
      <x:c r="I106" s="26" t="str">
        <x:v>Halloween Catalogue 2026</x:v>
      </x:c>
      <x:c r="J106" s="26" t="str">
        <x:v>SKU精确匹配</x:v>
      </x:c>
    </x:row>
    <x:row r="107">
      <x:c r="A107" s="24" t="str">
        <x:v>HB KIPPA RING</x:v>
      </x:c>
      <x:c r="B107" s="24" t="str">
        <x:v>6</x:v>
      </x:c>
      <x:c r="C107" s="24" t="str">
        <x:v>万圣节</x:v>
      </x:c>
      <x:c r="D107" s="24" t="str">
        <x:v>疯人院</x:v>
      </x:c>
      <x:c r="E107" s="25" t="n">
        <x:v>4</x:v>
      </x:c>
      <x:c r="F107" s="25" t="n">
        <x:v>4</x:v>
      </x:c>
      <x:c r="G107" s="25" t="n">
        <x:v>33</x:v>
      </x:c>
      <x:c r="H107" s="26" t="str">
        <x:v>Bloody Butcher Dress Up；Costume Bloody Bride Kids；Costume Bloody Chef Kids</x:v>
      </x:c>
      <x:c r="I107" s="26" t="str">
        <x:v>Halloween Catalogue 2026</x:v>
      </x:c>
      <x:c r="J107" s="26" t="str">
        <x:v>SKU精确匹配</x:v>
      </x:c>
    </x:row>
    <x:row r="108">
      <x:c r="A108" s="24" t="str">
        <x:v>HB KIPPA RING</x:v>
      </x:c>
      <x:c r="B108" s="24" t="str">
        <x:v>6</x:v>
      </x:c>
      <x:c r="C108" s="24" t="str">
        <x:v>万圣节</x:v>
      </x:c>
      <x:c r="D108" s="24" t="str">
        <x:v>面具</x:v>
      </x:c>
      <x:c r="E108" s="25" t="n">
        <x:v>3</x:v>
      </x:c>
      <x:c r="F108" s="25" t="n">
        <x:v>3</x:v>
      </x:c>
      <x:c r="G108" s="25" t="n">
        <x:v>72</x:v>
      </x:c>
      <x:c r="H108" s="26" t="str">
        <x:v>Wild Animal Mask Asst；Creepy Clown Asst；Skeleton Half Face Mask Asst</x:v>
      </x:c>
      <x:c r="I108" s="26" t="str">
        <x:v>Halloween Catalogue 2026</x:v>
      </x:c>
      <x:c r="J108" s="26" t="str">
        <x:v>SKU精确匹配</x:v>
      </x:c>
    </x:row>
    <x:row r="109">
      <x:c r="A109" s="24" t="str">
        <x:v>HB KIPPA RING</x:v>
      </x:c>
      <x:c r="B109" s="24" t="str">
        <x:v>6</x:v>
      </x:c>
      <x:c r="C109" s="24" t="str">
        <x:v>万圣节</x:v>
      </x:c>
      <x:c r="D109" s="24" t="str">
        <x:v>儿童趣味</x:v>
      </x:c>
      <x:c r="E109" s="25" t="n">
        <x:v>2</x:v>
      </x:c>
      <x:c r="F109" s="25" t="n">
        <x:v>2</x:v>
      </x:c>
      <x:c r="G109" s="25" t="n">
        <x:v>48</x:v>
      </x:c>
      <x:c r="H109" s="26" t="str">
        <x:v>Spooktacular Duckie Asst；Mini Duckie Asst</x:v>
      </x:c>
      <x:c r="I109" s="26" t="str">
        <x:v>Halloween Catalogue 2026</x:v>
      </x:c>
      <x:c r="J109" s="26" t="str">
        <x:v>SKU精确匹配</x:v>
      </x:c>
    </x:row>
    <x:row r="110">
      <x:c r="A110" s="24" t="str">
        <x:v>HB KIPPA RING</x:v>
      </x:c>
      <x:c r="B110" s="24" t="str">
        <x:v>6</x:v>
      </x:c>
      <x:c r="C110" s="24" t="str">
        <x:v>万圣节</x:v>
      </x:c>
      <x:c r="D110" s="24" t="str">
        <x:v>粉色恐怖</x:v>
      </x:c>
      <x:c r="E110" s="25" t="n">
        <x:v>2</x:v>
      </x:c>
      <x:c r="F110" s="25" t="n">
        <x:v>2</x:v>
      </x:c>
      <x:c r="G110" s="25" t="n">
        <x:v>42</x:v>
      </x:c>
      <x:c r="H110" s="26" t="str">
        <x:v>Sparkly Ghost Table Decor 25cm；Bunny Mask Asst</x:v>
      </x:c>
      <x:c r="I110" s="26" t="str">
        <x:v>Halloween Catalogue 2026</x:v>
      </x:c>
      <x:c r="J110" s="26" t="str">
        <x:v>SKU精确匹配</x:v>
      </x:c>
    </x:row>
    <x:row r="111">
      <x:c r="A111" s="24" t="str">
        <x:v>HB KIPPA RING</x:v>
      </x:c>
      <x:c r="B111" s="24" t="str">
        <x:v>6</x:v>
      </x:c>
      <x:c r="C111" s="24" t="str">
        <x:v>万圣节</x:v>
      </x:c>
      <x:c r="D111" s="24" t="str">
        <x:v>悬挂/站立装饰</x:v>
      </x:c>
      <x:c r="E111" s="25" t="n">
        <x:v>2</x:v>
      </x:c>
      <x:c r="F111" s="25" t="n">
        <x:v>2</x:v>
      </x:c>
      <x:c r="G111" s="25" t="n">
        <x:v>36</x:v>
      </x:c>
      <x:c r="H111" s="26" t="str">
        <x:v>Hanging Horror Figures 60cm；Hanging Skeleton Undying Bride and Groom 30cm Asst</x:v>
      </x:c>
      <x:c r="I111" s="26" t="str">
        <x:v>Halloween Catalogue 2026</x:v>
      </x:c>
      <x:c r="J111" s="26" t="str">
        <x:v>SKU精确匹配</x:v>
      </x:c>
    </x:row>
    <x:row r="112">
      <x:c r="A112" s="24" t="str">
        <x:v>HB KIPPA RING</x:v>
      </x:c>
      <x:c r="B112" s="24" t="str">
        <x:v>6</x:v>
      </x:c>
      <x:c r="C112" s="24" t="str">
        <x:v>万圣节</x:v>
      </x:c>
      <x:c r="D112" s="24" t="str">
        <x:v>发光与投影</x:v>
      </x:c>
      <x:c r="E112" s="25" t="n">
        <x:v>1</x:v>
      </x:c>
      <x:c r="F112" s="25" t="n">
        <x:v>1</x:v>
      </x:c>
      <x:c r="G112" s="25" t="n">
        <x:v>24</x:v>
      </x:c>
      <x:c r="H112" s="26" t="str">
        <x:v>Lantern Light 20cm Asst</x:v>
      </x:c>
      <x:c r="I112" s="26" t="str">
        <x:v>Halloween Catalogue 2026</x:v>
      </x:c>
      <x:c r="J112" s="26" t="str">
        <x:v>SKU精确匹配</x:v>
      </x:c>
    </x:row>
    <x:row r="113">
      <x:c r="A113" s="24" t="str">
        <x:v>HB KIPPA RING</x:v>
      </x:c>
      <x:c r="B113" s="24" t="str">
        <x:v>16</x:v>
      </x:c>
      <x:c r="C113" s="24" t="str">
        <x:v>圣诞普通商品</x:v>
      </x:c>
      <x:c r="D113" s="24" t="str">
        <x:v>花材与枝叶</x:v>
      </x:c>
      <x:c r="E113" s="25" t="n">
        <x:v>8</x:v>
      </x:c>
      <x:c r="F113" s="25" t="n">
        <x:v>13</x:v>
      </x:c>
      <x:c r="G113" s="25" t="n">
        <x:v>312</x:v>
      </x:c>
      <x:c r="H113" s="26" t="str">
        <x:v>Holly &amp; Berries Garland 2.7m；Velvet Sequins Poinsettia Asst；Metallic Draping Spray 134cm Asst</x:v>
      </x:c>
      <x:c r="I113" s="26" t="str">
        <x:v>Christmas General 2026</x:v>
      </x:c>
      <x:c r="J113" s="26" t="str">
        <x:v>SKU精确匹配</x:v>
      </x:c>
    </x:row>
    <x:row r="114">
      <x:c r="A114" s="24" t="str">
        <x:v>HB KIPPA RING</x:v>
      </x:c>
      <x:c r="B114" s="24" t="str">
        <x:v>16</x:v>
      </x:c>
      <x:c r="C114" s="24" t="str">
        <x:v>圣诞普通商品</x:v>
      </x:c>
      <x:c r="D114" s="24" t="str">
        <x:v>铃铛</x:v>
      </x:c>
      <x:c r="E114" s="25" t="n">
        <x:v>4</x:v>
      </x:c>
      <x:c r="F114" s="25" t="n">
        <x:v>5</x:v>
      </x:c>
      <x:c r="G114" s="25" t="n">
        <x:v>120</x:v>
      </x:c>
      <x:c r="H114" s="26" t="str">
        <x:v>Mini Nutbells Door Hanger 20cm Asst；Nutbells Pack Mega Mix Asst；Nutbells Hanger with Bow 30cm Asst</x:v>
      </x:c>
      <x:c r="I114" s="26" t="str">
        <x:v>Christmas General 2026</x:v>
      </x:c>
      <x:c r="J114" s="26" t="str">
        <x:v>SKU精确匹配</x:v>
      </x:c>
    </x:row>
    <x:row r="115">
      <x:c r="A115" s="24" t="str">
        <x:v>HB KIPPA RING</x:v>
      </x:c>
      <x:c r="B115" s="24" t="str">
        <x:v>16</x:v>
      </x:c>
      <x:c r="C115" s="24" t="str">
        <x:v>圣诞普通商品</x:v>
      </x:c>
      <x:c r="D115" s="24" t="str">
        <x:v>桌面装饰</x:v>
      </x:c>
      <x:c r="E115" s="25" t="n">
        <x:v>4</x:v>
      </x:c>
      <x:c r="F115" s="25" t="n">
        <x:v>5</x:v>
      </x:c>
      <x:c r="G115" s="25" t="n">
        <x:v>102</x:v>
      </x:c>
      <x:c r="H115" s="26" t="str">
        <x:v>Mini Star Topper 13cm Asst；LED Micro Wire Flicker Pillar Candle B/OP；Tree Topper Shiny Star 11cm Asst</x:v>
      </x:c>
      <x:c r="I115" s="26" t="str">
        <x:v>Christmas General 2026</x:v>
      </x:c>
      <x:c r="J115" s="26" t="str">
        <x:v>SKU精确匹配</x:v>
      </x:c>
    </x:row>
    <x:row r="116">
      <x:c r="A116" s="24" t="str">
        <x:v>HB KIPPA RING</x:v>
      </x:c>
      <x:c r="B116" s="24" t="str">
        <x:v>16</x:v>
      </x:c>
      <x:c r="C116" s="24" t="str">
        <x:v>圣诞普通商品</x:v>
      </x:c>
      <x:c r="D116" s="24" t="str">
        <x:v>纺织品</x:v>
      </x:c>
      <x:c r="E116" s="25" t="n">
        <x:v>4</x:v>
      </x:c>
      <x:c r="F116" s="25" t="n">
        <x:v>4</x:v>
      </x:c>
      <x:c r="G116" s="25" t="n">
        <x:v>96</x:v>
      </x:c>
      <x:c r="H116" s="26" t="str">
        <x:v>Table Runner Printed 183cm Asst；Table Cloth Damask 150x225cm Asst；Table Cloth Damask 132x178cm Asst</x:v>
      </x:c>
      <x:c r="I116" s="26" t="str">
        <x:v>Christmas General 2026</x:v>
      </x:c>
      <x:c r="J116" s="26" t="str">
        <x:v>SKU精确匹配</x:v>
      </x:c>
    </x:row>
    <x:row r="117">
      <x:c r="A117" s="24" t="str">
        <x:v>HB KIPPA RING</x:v>
      </x:c>
      <x:c r="B117" s="24" t="str">
        <x:v>16</x:v>
      </x:c>
      <x:c r="C117" s="24" t="str">
        <x:v>圣诞普通商品</x:v>
      </x:c>
      <x:c r="D117" s="24" t="str">
        <x:v>墙面装饰</x:v>
      </x:c>
      <x:c r="E117" s="25" t="n">
        <x:v>2</x:v>
      </x:c>
      <x:c r="F117" s="25" t="n">
        <x:v>4</x:v>
      </x:c>
      <x:c r="G117" s="25" t="n">
        <x:v>54</x:v>
      </x:c>
      <x:c r="H117" s="26" t="str">
        <x:v>Christmas Giant Selfie Frame；Hanging Metal Bauble Plaque Asst</x:v>
      </x:c>
      <x:c r="I117" s="26" t="str">
        <x:v>Christmas General 2026</x:v>
      </x:c>
      <x:c r="J117" s="26" t="str">
        <x:v>SKU精确匹配</x:v>
      </x:c>
    </x:row>
    <x:row r="118">
      <x:c r="A118" s="24" t="str">
        <x:v>HB KIPPA RING</x:v>
      </x:c>
      <x:c r="B118" s="24" t="str">
        <x:v>16</x:v>
      </x:c>
      <x:c r="C118" s="24" t="str">
        <x:v>圣诞普通商品</x:v>
      </x:c>
      <x:c r="D118" s="24" t="str">
        <x:v>圣诞树挂饰</x:v>
      </x:c>
      <x:c r="E118" s="25" t="n">
        <x:v>3</x:v>
      </x:c>
      <x:c r="F118" s="25" t="n">
        <x:v>3</x:v>
      </x:c>
      <x:c r="G118" s="25" t="n">
        <x:v>84</x:v>
      </x:c>
      <x:c r="H118" s="26" t="str">
        <x:v>Hanging Teddy Bear Deco Asst；Hanging Snowflake Drop 14cm Asst；Hanging Fairy Glitter Wings 14cm Asst</x:v>
      </x:c>
      <x:c r="I118" s="26" t="str">
        <x:v>Christmas General 2026</x:v>
      </x:c>
      <x:c r="J118" s="26" t="str">
        <x:v>SKU精确匹配</x:v>
      </x:c>
    </x:row>
    <x:row r="119">
      <x:c r="A119" s="24" t="str">
        <x:v>HB KIPPA RING</x:v>
      </x:c>
      <x:c r="B119" s="24" t="str">
        <x:v>16</x:v>
      </x:c>
      <x:c r="C119" s="24" t="str">
        <x:v>圣诞普通商品</x:v>
      </x:c>
      <x:c r="D119" s="24" t="str">
        <x:v>糖果手杖主题</x:v>
      </x:c>
      <x:c r="E119" s="25" t="n">
        <x:v>3</x:v>
      </x:c>
      <x:c r="F119" s="25" t="n">
        <x:v>3</x:v>
      </x:c>
      <x:c r="G119" s="25" t="n">
        <x:v>56</x:v>
      </x:c>
      <x:c r="H119" s="26" t="str">
        <x:v>Double Bow Flocked Candy Stripe；Hanging Gingerbread Deco 12cm Asst；Candy Waffle Train Deco Asst</x:v>
      </x:c>
      <x:c r="I119" s="26" t="str">
        <x:v>Christmas General 2026</x:v>
      </x:c>
      <x:c r="J119" s="26" t="str">
        <x:v>SKU精确匹配</x:v>
      </x:c>
    </x:row>
    <x:row r="120">
      <x:c r="A120" s="24" t="str">
        <x:v>HB KIPPA RING</x:v>
      </x:c>
      <x:c r="B120" s="24" t="str">
        <x:v>16</x:v>
      </x:c>
      <x:c r="C120" s="24" t="str">
        <x:v>圣诞普通商品</x:v>
      </x:c>
      <x:c r="D120" s="24" t="str">
        <x:v>节日趣味商品</x:v>
      </x:c>
      <x:c r="E120" s="25" t="n">
        <x:v>2</x:v>
      </x:c>
      <x:c r="F120" s="25" t="n">
        <x:v>2</x:v>
      </x:c>
      <x:c r="G120" s="25" t="n">
        <x:v>36</x:v>
      </x:c>
      <x:c r="H120" s="26" t="str">
        <x:v>Christmas Plush Pal SRT Asst；Sing N Twirl Christmas Character Asst</x:v>
      </x:c>
      <x:c r="I120" s="26" t="str">
        <x:v>Christmas General 2026</x:v>
      </x:c>
      <x:c r="J120" s="26" t="str">
        <x:v>SKU精确匹配</x:v>
      </x:c>
    </x:row>
    <x:row r="121">
      <x:c r="A121" s="24" t="str">
        <x:v>HB KIPPA RING</x:v>
      </x:c>
      <x:c r="B121" s="24" t="str">
        <x:v>16</x:v>
      </x:c>
      <x:c r="C121" s="24" t="str">
        <x:v>圣诞普通商品</x:v>
      </x:c>
      <x:c r="D121" s="24" t="str">
        <x:v>林地丝绒主题</x:v>
      </x:c>
      <x:c r="E121" s="25" t="n">
        <x:v>1</x:v>
      </x:c>
      <x:c r="F121" s="25" t="n">
        <x:v>1</x:v>
      </x:c>
      <x:c r="G121" s="25" t="n">
        <x:v>36</x:v>
      </x:c>
      <x:c r="H121" s="26" t="str">
        <x:v>Velvet Ribbon Bow Clip 4pk Asst</x:v>
      </x:c>
      <x:c r="I121" s="26" t="str">
        <x:v>Christmas General 2026</x:v>
      </x:c>
      <x:c r="J121" s="26" t="str">
        <x:v>SKU精确匹配</x:v>
      </x:c>
    </x:row>
    <x:row r="122">
      <x:c r="A122" s="24" t="str">
        <x:v>HB KIPPA RING</x:v>
      </x:c>
      <x:c r="B122" s="24" t="str">
        <x:v>16</x:v>
      </x:c>
      <x:c r="C122" s="24" t="str">
        <x:v>圣诞普通商品</x:v>
      </x:c>
      <x:c r="D122" s="24" t="str">
        <x:v>奢华传统主题</x:v>
      </x:c>
      <x:c r="E122" s="25" t="n">
        <x:v>1</x:v>
      </x:c>
      <x:c r="F122" s="25" t="n">
        <x:v>1</x:v>
      </x:c>
      <x:c r="G122" s="25" t="n">
        <x:v>24</x:v>
      </x:c>
      <x:c r="H122" s="26" t="str">
        <x:v>Hanging Flocked Bow 10cm Asst</x:v>
      </x:c>
      <x:c r="I122" s="26" t="str">
        <x:v>Christmas General 2026</x:v>
      </x:c>
      <x:c r="J122" s="26" t="str">
        <x:v>SKU精确匹配</x:v>
      </x:c>
    </x:row>
    <x:row r="123">
      <x:c r="A123" s="24" t="str">
        <x:v>HB KIPPA RING</x:v>
      </x:c>
      <x:c r="B123" s="24" t="str">
        <x:v>16</x:v>
      </x:c>
      <x:c r="C123" s="24" t="str">
        <x:v>圣诞灯饰</x:v>
      </x:c>
      <x:c r="D123" s="24" t="str">
        <x:v>太阳能灯饰</x:v>
      </x:c>
      <x:c r="E123" s="25" t="n">
        <x:v>8</x:v>
      </x:c>
      <x:c r="F123" s="25" t="n">
        <x:v>14</x:v>
      </x:c>
      <x:c r="G123" s="25" t="n">
        <x:v>170</x:v>
      </x:c>
      <x:c r="H123" s="26" t="str">
        <x:v>Solar Mini Candy Cane Path Lghts 8pk；Solar LED Star Path Lights 5pk Asst；Solar LED Snowflake Path Lights 5pk Asst</x:v>
      </x:c>
      <x:c r="I123" s="26" t="str">
        <x:v>Christmas Lighting 2026</x:v>
      </x:c>
      <x:c r="J123" s="26" t="str">
        <x:v>SKU精确匹配</x:v>
      </x:c>
    </x:row>
    <x:row r="124">
      <x:c r="A124" s="24" t="str">
        <x:v>HB KIPPA RING</x:v>
      </x:c>
      <x:c r="B124" s="24" t="str">
        <x:v>16</x:v>
      </x:c>
      <x:c r="C124" s="24" t="str">
        <x:v>圣诞灯饰</x:v>
      </x:c>
      <x:c r="D124" s="24" t="str">
        <x:v>灯光圣诞树</x:v>
      </x:c>
      <x:c r="E124" s="25" t="n">
        <x:v>2</x:v>
      </x:c>
      <x:c r="F124" s="25" t="n">
        <x:v>5</x:v>
      </x:c>
      <x:c r="G124" s="25" t="n">
        <x:v>20</x:v>
      </x:c>
      <x:c r="H124" s="26" t="str">
        <x:v>Waterfall Flash Strand Tree 205cm Multi；Weeping Willow 210cm Warm White Twinkle</x:v>
      </x:c>
      <x:c r="I124" s="26" t="str">
        <x:v>Christmas Lighting 2026</x:v>
      </x:c>
      <x:c r="J124" s="26" t="str">
        <x:v>SKU精确匹配</x:v>
      </x:c>
    </x:row>
    <x:row r="125">
      <x:c r="A125" s="24" t="str">
        <x:v>HB KIPPA RING</x:v>
      </x:c>
      <x:c r="B125" s="24" t="str">
        <x:v>16</x:v>
      </x:c>
      <x:c r="C125" s="24" t="str">
        <x:v>圣诞灯饰</x:v>
      </x:c>
      <x:c r="D125" s="24" t="str">
        <x:v>创意灯饰</x:v>
      </x:c>
      <x:c r="E125" s="25" t="n">
        <x:v>3</x:v>
      </x:c>
      <x:c r="F125" s="25" t="n">
        <x:v>3</x:v>
      </x:c>
      <x:c r="G125" s="25" t="n">
        <x:v>24</x:v>
      </x:c>
      <x:c r="H125" s="26" t="str">
        <x:v>LED Dew Drop Star Curtain Multi Colour；Ladder Light Star Top w/Santa Warm/Multi Asst；Nativity Star Curtain Light Multi Col</x:v>
      </x:c>
      <x:c r="I125" s="26" t="str">
        <x:v>Christmas Lighting 2026</x:v>
      </x:c>
      <x:c r="J125" s="26" t="str">
        <x:v>SKU精确匹配</x:v>
      </x:c>
    </x:row>
    <x:row r="126">
      <x:c r="A126" s="24" t="str">
        <x:v>HB KIPPA RING</x:v>
      </x:c>
      <x:c r="B126" s="24" t="str">
        <x:v>16</x:v>
      </x:c>
      <x:c r="C126" s="24" t="str">
        <x:v>圣诞灯饰</x:v>
      </x:c>
      <x:c r="D126" s="24" t="str">
        <x:v>图案灯/Motif Lights</x:v>
      </x:c>
      <x:c r="E126" s="25" t="n">
        <x:v>1</x:v>
      </x:c>
      <x:c r="F126" s="25" t="n">
        <x:v>2</x:v>
      </x:c>
      <x:c r="G126" s="25" t="n">
        <x:v>8</x:v>
      </x:c>
      <x:c r="H126" s="26" t="str">
        <x:v>LED Motif Triple Star Multi Colour Twinkle</x:v>
      </x:c>
      <x:c r="I126" s="26" t="str">
        <x:v>Christmas Lighting 2026</x:v>
      </x:c>
      <x:c r="J126" s="26" t="str">
        <x:v>SKU精确匹配</x:v>
      </x:c>
    </x:row>
    <x:row r="127">
      <x:c r="A127" s="24" t="str">
        <x:v>HB KIPPA RING</x:v>
      </x:c>
      <x:c r="B127" s="24" t="str">
        <x:v>16</x:v>
      </x:c>
      <x:c r="C127" s="24" t="str">
        <x:v>圣诞灯饰</x:v>
      </x:c>
      <x:c r="D127" s="24" t="str">
        <x:v>基础 LED 灯串</x:v>
      </x:c>
      <x:c r="E127" s="25" t="n">
        <x:v>1</x:v>
      </x:c>
      <x:c r="F127" s="25" t="n">
        <x:v>1</x:v>
      </x:c>
      <x:c r="G127" s="25" t="n">
        <x:v>6</x:v>
      </x:c>
      <x:c r="H127" s="26" t="str">
        <x:v>LED Fairy Lights 1000 w/Reel 5 Colour Funtime</x:v>
      </x:c>
      <x:c r="I127" s="26" t="str">
        <x:v>Christmas Lighting 2026</x:v>
      </x:c>
      <x:c r="J127" s="26" t="str">
        <x:v>SKU精确匹配</x:v>
      </x:c>
    </x:row>
    <x:row r="128">
      <x:c r="A128" s="24" t="str">
        <x:v>HB KIPPA RING</x:v>
      </x:c>
      <x:c r="B128" s="24" t="str">
        <x:v>16</x:v>
      </x:c>
      <x:c r="C128" s="24" t="str">
        <x:v>圣诞灯饰</x:v>
      </x:c>
      <x:c r="D128" s="24" t="str">
        <x:v>Ropelight 绳灯</x:v>
      </x:c>
      <x:c r="E128" s="25" t="n">
        <x:v>1</x:v>
      </x:c>
      <x:c r="F128" s="25" t="n">
        <x:v>1</x:v>
      </x:c>
      <x:c r="G128" s="25" t="n">
        <x:v>4</x:v>
      </x:c>
      <x:c r="H128" s="26" t="str">
        <x:v>Ropelight Happy Santa Twinkle Red-Green-Cool</x:v>
      </x:c>
      <x:c r="I128" s="26" t="str">
        <x:v>Christmas Lighting 2026</x:v>
      </x:c>
      <x:c r="J128" s="26" t="str">
        <x:v>SKU精确匹配</x:v>
      </x:c>
    </x:row>
    <x:row r="129">
      <x:c r="A129" s="24" t="str">
        <x:v>HB KIPPA RING</x:v>
      </x:c>
      <x:c r="B129" s="24" t="str">
        <x:v>Loose</x:v>
      </x:c>
      <x:c r="C129" s="24" t="str">
        <x:v>圣诞普通商品</x:v>
      </x:c>
      <x:c r="D129" s="24" t="str">
        <x:v>铃铛</x:v>
      </x:c>
      <x:c r="E129" s="25" t="n">
        <x:v>3</x:v>
      </x:c>
      <x:c r="F129" s="25" t="n">
        <x:v>3</x:v>
      </x:c>
      <x:c r="G129" s="25" t="n">
        <x:v>48</x:v>
      </x:c>
      <x:c r="H129" s="26" t="str">
        <x:v>Tinsel Bell-Bulbs Hanger 30cm Asst；Triple Bells Hanger Berry Deco 40cm Asst；Twin Bells Hanger Striped Bow Asst</x:v>
      </x:c>
      <x:c r="I129" s="26" t="str">
        <x:v>Christmas General 2026</x:v>
      </x:c>
      <x:c r="J129" s="26" t="str">
        <x:v>SKU精确匹配</x:v>
      </x:c>
    </x:row>
    <x:row r="130">
      <x:c r="A130" s="24" t="str">
        <x:v>HB KIPPA RING</x:v>
      </x:c>
      <x:c r="B130" s="24" t="str">
        <x:v>Loose</x:v>
      </x:c>
      <x:c r="C130" s="24" t="str">
        <x:v>圣诞普通商品</x:v>
      </x:c>
      <x:c r="D130" s="24" t="str">
        <x:v>花材与枝叶</x:v>
      </x:c>
      <x:c r="E130" s="25" t="n">
        <x:v>1</x:v>
      </x:c>
      <x:c r="F130" s="25" t="n">
        <x:v>2</x:v>
      </x:c>
      <x:c r="G130" s="25" t="n">
        <x:v>72</x:v>
      </x:c>
      <x:c r="H130" s="26" t="str">
        <x:v>Poinsettia Glitter Clip Asst</x:v>
      </x:c>
      <x:c r="I130" s="26" t="str">
        <x:v>Christmas General 2026</x:v>
      </x:c>
      <x:c r="J130" s="26" t="str">
        <x:v>SKU精确匹配</x:v>
      </x:c>
    </x:row>
    <x:row r="131">
      <x:c r="A131" s="24" t="str">
        <x:v>HB KIPPA RING</x:v>
      </x:c>
      <x:c r="B131" s="24" t="str">
        <x:v>Loose</x:v>
      </x:c>
      <x:c r="C131" s="24" t="str">
        <x:v>圣诞普通商品</x:v>
      </x:c>
      <x:c r="D131" s="24" t="str">
        <x:v>桌面装饰</x:v>
      </x:c>
      <x:c r="E131" s="25" t="n">
        <x:v>2</x:v>
      </x:c>
      <x:c r="F131" s="25" t="n">
        <x:v>2</x:v>
      </x:c>
      <x:c r="G131" s="25" t="n">
        <x:v>54</x:v>
      </x:c>
      <x:c r="H131" s="26" t="str">
        <x:v>Tree Topper Star 20cm Asst；Christmas Santa Sleigh Waterball 65mm Asst</x:v>
      </x:c>
      <x:c r="I131" s="26" t="str">
        <x:v>Christmas General 2026</x:v>
      </x:c>
      <x:c r="J131" s="26" t="str">
        <x:v>SKU精确匹配</x:v>
      </x:c>
    </x:row>
    <x:row r="132">
      <x:c r="A132" s="24" t="str">
        <x:v>HB KIPPA RING</x:v>
      </x:c>
      <x:c r="B132" s="24" t="str">
        <x:v>Loose</x:v>
      </x:c>
      <x:c r="C132" s="24" t="str">
        <x:v>圣诞普通商品</x:v>
      </x:c>
      <x:c r="D132" s="24" t="str">
        <x:v>糖果手杖主题</x:v>
      </x:c>
      <x:c r="E132" s="25" t="n">
        <x:v>1</x:v>
      </x:c>
      <x:c r="F132" s="25" t="n">
        <x:v>2</x:v>
      </x:c>
      <x:c r="G132" s="25" t="n">
        <x:v>48</x:v>
      </x:c>
      <x:c r="H132" s="26" t="str">
        <x:v>Candycane Ribbed Baubles 60mm 6pk</x:v>
      </x:c>
      <x:c r="I132" s="26" t="str">
        <x:v>Christmas General 2026</x:v>
      </x:c>
      <x:c r="J132" s="26" t="str">
        <x:v>SKU精确匹配</x:v>
      </x:c>
    </x:row>
    <x:row r="133">
      <x:c r="A133" s="24" t="str">
        <x:v>HB KIPPA RING</x:v>
      </x:c>
      <x:c r="B133" s="24" t="str">
        <x:v>Loose</x:v>
      </x:c>
      <x:c r="C133" s="24" t="str">
        <x:v>圣诞普通商品</x:v>
      </x:c>
      <x:c r="D133" s="24" t="str">
        <x:v>厨房用品</x:v>
      </x:c>
      <x:c r="E133" s="25" t="n">
        <x:v>1</x:v>
      </x:c>
      <x:c r="F133" s="25" t="n">
        <x:v>1</x:v>
      </x:c>
      <x:c r="G133" s="25" t="n">
        <x:v>48</x:v>
      </x:c>
      <x:c r="H133" s="26" t="str">
        <x:v>Tea Towel Print Asst</x:v>
      </x:c>
      <x:c r="I133" s="26" t="str">
        <x:v>Christmas General 2026</x:v>
      </x:c>
      <x:c r="J133" s="26" t="str">
        <x:v>SKU精确匹配</x:v>
      </x:c>
    </x:row>
    <x:row r="134">
      <x:c r="A134" s="24" t="str">
        <x:v>HB KIPPA RING</x:v>
      </x:c>
      <x:c r="B134" s="24" t="str">
        <x:v>Loose</x:v>
      </x:c>
      <x:c r="C134" s="24" t="str">
        <x:v>圣诞普通商品</x:v>
      </x:c>
      <x:c r="D134" s="24" t="str">
        <x:v>圣诞树挂饰</x:v>
      </x:c>
      <x:c r="E134" s="25" t="n">
        <x:v>1</x:v>
      </x:c>
      <x:c r="F134" s="25" t="n">
        <x:v>1</x:v>
      </x:c>
      <x:c r="G134" s="25" t="n">
        <x:v>48</x:v>
      </x:c>
      <x:c r="H134" s="26" t="str">
        <x:v>Hanging Spinning Photo Deco 8cm Asst</x:v>
      </x:c>
      <x:c r="I134" s="26" t="str">
        <x:v>Christmas General 2026</x:v>
      </x:c>
      <x:c r="J134" s="26" t="str">
        <x:v>SKU精确匹配</x:v>
      </x:c>
    </x:row>
    <x:row r="135">
      <x:c r="A135" s="24" t="str">
        <x:v>HB KIPPA RING</x:v>
      </x:c>
      <x:c r="B135" s="24" t="str">
        <x:v>Loose</x:v>
      </x:c>
      <x:c r="C135" s="24" t="str">
        <x:v>圣诞普通商品</x:v>
      </x:c>
      <x:c r="D135" s="24" t="str">
        <x:v>发光装饰</x:v>
      </x:c>
      <x:c r="E135" s="25" t="n">
        <x:v>1</x:v>
      </x:c>
      <x:c r="F135" s="25" t="n">
        <x:v>1</x:v>
      </x:c>
      <x:c r="G135" s="25" t="n">
        <x:v>12</x:v>
      </x:c>
      <x:c r="H135" s="26" t="str">
        <x:v>Glitter Swirl Candle Col Change USB 25cm</x:v>
      </x:c>
      <x:c r="I135" s="26" t="str">
        <x:v>Christmas General 2026</x:v>
      </x:c>
      <x:c r="J135" s="26" t="str">
        <x:v>SKU精确匹配</x:v>
      </x:c>
    </x:row>
    <x:row r="136">
      <x:c r="A136" s="24" t="str">
        <x:v>HB KIPPA RING</x:v>
      </x:c>
      <x:c r="B136" s="24" t="str">
        <x:v>Loose</x:v>
      </x:c>
      <x:c r="C136" s="24" t="str">
        <x:v>圣诞普通商品</x:v>
      </x:c>
      <x:c r="D136" s="24" t="str">
        <x:v>粉彩花园主题</x:v>
      </x:c>
      <x:c r="E136" s="25" t="n">
        <x:v>1</x:v>
      </x:c>
      <x:c r="F136" s="25" t="n">
        <x:v>1</x:v>
      </x:c>
      <x:c r="G136" s="25" t="n">
        <x:v>12</x:v>
      </x:c>
      <x:c r="H136" s="26" t="str">
        <x:v>Pastel Sitting Santa/Reindeer 35cm Asst</x:v>
      </x:c>
      <x:c r="I136" s="26" t="str">
        <x:v>Christmas General 2026</x:v>
      </x:c>
      <x:c r="J136" s="26" t="str">
        <x:v>SKU精确匹配</x:v>
      </x:c>
    </x:row>
    <x:row r="137">
      <x:c r="A137" s="24" t="str">
        <x:v>HB KIPPA RING</x:v>
      </x:c>
      <x:c r="B137" s="24" t="str">
        <x:v>Loose</x:v>
      </x:c>
      <x:c r="C137" s="24" t="str">
        <x:v>圣诞灯饰</x:v>
      </x:c>
      <x:c r="D137" s="24" t="str">
        <x:v>Infinity/Neon 灯饰</x:v>
      </x:c>
      <x:c r="E137" s="25" t="n">
        <x:v>2</x:v>
      </x:c>
      <x:c r="F137" s="25" t="n">
        <x:v>2</x:v>
      </x:c>
      <x:c r="G137" s="25" t="n">
        <x:v>16</x:v>
      </x:c>
      <x:c r="H137" s="26" t="str">
        <x:v>Infinity Light Tree 40cm；Infinity Light Santa 40cm</x:v>
      </x:c>
      <x:c r="I137" s="26" t="str">
        <x:v>Christmas Lighting 2026</x:v>
      </x:c>
      <x:c r="J137" s="26" t="str">
        <x:v>SKU精确匹配</x:v>
      </x:c>
    </x:row>
    <x:row r="138">
      <x:c r="A138" s="24" t="str">
        <x:v>HB KIPPA RING</x:v>
      </x:c>
      <x:c r="B138" s="24" t="str">
        <x:v>Loose</x:v>
      </x:c>
      <x:c r="C138" s="24" t="str">
        <x:v>圣诞灯饰</x:v>
      </x:c>
      <x:c r="D138" s="24" t="str">
        <x:v>太阳能灯饰</x:v>
      </x:c>
      <x:c r="E138" s="25" t="n">
        <x:v>1</x:v>
      </x:c>
      <x:c r="F138" s="25" t="n">
        <x:v>1</x:v>
      </x:c>
      <x:c r="G138" s="25" t="n">
        <x:v>12</x:v>
      </x:c>
      <x:c r="H138" s="26" t="str">
        <x:v>Solar Candy Cane Path Stakes 4pk</x:v>
      </x:c>
      <x:c r="I138" s="26" t="str">
        <x:v>Christmas Lighting 2026</x:v>
      </x:c>
      <x:c r="J138" s="26" t="str">
        <x:v>SKU精确匹配</x:v>
      </x:c>
    </x:row>
    <x:row r="139">
      <x:c r="A139" s="24" t="str">
        <x:v>HB KIPPA RING</x:v>
      </x:c>
      <x:c r="B139" s="24" t="str">
        <x:v>Loose</x:v>
      </x:c>
      <x:c r="C139" s="24" t="str">
        <x:v>圣诞灯饰</x:v>
      </x:c>
      <x:c r="D139" s="24" t="str">
        <x:v>创意灯饰</x:v>
      </x:c>
      <x:c r="E139" s="25" t="n">
        <x:v>1</x:v>
      </x:c>
      <x:c r="F139" s="25" t="n">
        <x:v>1</x:v>
      </x:c>
      <x:c r="G139" s="25" t="n">
        <x:v>6</x:v>
      </x:c>
      <x:c r="H139" s="26" t="str">
        <x:v>LED Garden Star Cascade 3.5m Multi Colour</x:v>
      </x:c>
      <x:c r="I139" s="26" t="str">
        <x:v>Christmas Lighting 2026</x:v>
      </x:c>
      <x:c r="J139" s="26" t="str">
        <x:v>SKU精确匹配</x:v>
      </x:c>
    </x:row>
    <x:row r="140">
      <x:c r="A140" s="24" t="str">
        <x:v>HB ORION</x:v>
      </x:c>
      <x:c r="B140" s="24" t="str">
        <x:v>1</x:v>
      </x:c>
      <x:c r="C140" s="24" t="str">
        <x:v>万圣节</x:v>
      </x:c>
      <x:c r="D140" s="24" t="str">
        <x:v>装扮与配饰</x:v>
      </x:c>
      <x:c r="E140" s="25" t="n">
        <x:v>17</x:v>
      </x:c>
      <x:c r="F140" s="25" t="n">
        <x:v>17</x:v>
      </x:c>
      <x:c r="G140" s="25" t="n">
        <x:v>444</x:v>
      </x:c>
      <x:c r="H140" s="26" t="str">
        <x:v>Spider Earrings Asst；Boo Bling Charm Earrings Asst；Spooky Dazzling Dangling Earrings Asst</x:v>
      </x:c>
      <x:c r="I140" s="26" t="str">
        <x:v>Halloween Catalogue 2026</x:v>
      </x:c>
      <x:c r="J140" s="26" t="str">
        <x:v>SKU精确匹配</x:v>
      </x:c>
    </x:row>
    <x:row r="141">
      <x:c r="A141" s="24" t="str">
        <x:v>HB ORION</x:v>
      </x:c>
      <x:c r="B141" s="24" t="str">
        <x:v>1</x:v>
      </x:c>
      <x:c r="C141" s="24" t="str">
        <x:v>万圣节</x:v>
      </x:c>
      <x:c r="D141" s="24" t="str">
        <x:v>万圣节装饰</x:v>
      </x:c>
      <x:c r="E141" s="25" t="n">
        <x:v>9</x:v>
      </x:c>
      <x:c r="F141" s="25" t="n">
        <x:v>13</x:v>
      </x:c>
      <x:c r="G141" s="25" t="n">
        <x:v>240</x:v>
      </x:c>
      <x:c r="H141" s="26" t="str">
        <x:v>Spooky Tinsel with Shapes 2.6m Asst；Halloween Holographic Garland 3m Asst；Haunted Body Bag 1.52m</x:v>
      </x:c>
      <x:c r="I141" s="26" t="str">
        <x:v>Halloween Catalogue 2026</x:v>
      </x:c>
      <x:c r="J141" s="26" t="str">
        <x:v>SKU精确匹配</x:v>
      </x:c>
    </x:row>
    <x:row r="142">
      <x:c r="A142" s="24" t="str">
        <x:v>HB ORION</x:v>
      </x:c>
      <x:c r="B142" s="24" t="str">
        <x:v>1</x:v>
      </x:c>
      <x:c r="C142" s="24" t="str">
        <x:v>万圣节</x:v>
      </x:c>
      <x:c r="D142" s="24" t="str">
        <x:v>武器道具</x:v>
      </x:c>
      <x:c r="E142" s="25" t="n">
        <x:v>5</x:v>
      </x:c>
      <x:c r="F142" s="25" t="n">
        <x:v>12</x:v>
      </x:c>
      <x:c r="G142" s="25" t="n">
        <x:v>228</x:v>
      </x:c>
      <x:c r="H142" s="26" t="str">
        <x:v>Retractable Knife 19cm；Bloody Axe 35cm；Madness Baseball 72cm</x:v>
      </x:c>
      <x:c r="I142" s="26" t="str">
        <x:v>Halloween Catalogue 2026</x:v>
      </x:c>
      <x:c r="J142" s="26" t="str">
        <x:v>SKU精确匹配</x:v>
      </x:c>
    </x:row>
    <x:row r="143">
      <x:c r="A143" s="24" t="str">
        <x:v>HB ORION</x:v>
      </x:c>
      <x:c r="B143" s="24" t="str">
        <x:v>1</x:v>
      </x:c>
      <x:c r="C143" s="24" t="str">
        <x:v>万圣节</x:v>
      </x:c>
      <x:c r="D143" s="24" t="str">
        <x:v>通用服装</x:v>
      </x:c>
      <x:c r="E143" s="25" t="n">
        <x:v>9</x:v>
      </x:c>
      <x:c r="F143" s="25" t="n">
        <x:v>9</x:v>
      </x:c>
      <x:c r="G143" s="25" t="n">
        <x:v>54</x:v>
      </x:c>
      <x:c r="H143" s="26" t="str">
        <x:v>Costume Bloody Zombie Convict Kids；Costume Bloody Stripes Creep Kids；Costume Dragon Ninja Warrior Kids</x:v>
      </x:c>
      <x:c r="I143" s="26" t="str">
        <x:v>Halloween Catalogue 2026</x:v>
      </x:c>
      <x:c r="J143" s="26" t="str">
        <x:v>SKU精确匹配</x:v>
      </x:c>
    </x:row>
    <x:row r="144">
      <x:c r="A144" s="24" t="str">
        <x:v>HB ORION</x:v>
      </x:c>
      <x:c r="B144" s="24" t="str">
        <x:v>1</x:v>
      </x:c>
      <x:c r="C144" s="24" t="str">
        <x:v>万圣节</x:v>
      </x:c>
      <x:c r="D144" s="24" t="str">
        <x:v>粉色恐怖</x:v>
      </x:c>
      <x:c r="E144" s="25" t="n">
        <x:v>4</x:v>
      </x:c>
      <x:c r="F144" s="25" t="n">
        <x:v>7</x:v>
      </x:c>
      <x:c r="G144" s="25" t="n">
        <x:v>144</x:v>
      </x:c>
      <x:c r="H144" s="26" t="str">
        <x:v>Hanging Ghost 40cm Asst；Spooky Earrings 4pk Asst；Chunky Earrings Pink Asst</x:v>
      </x:c>
      <x:c r="I144" s="26" t="str">
        <x:v>Halloween Catalogue 2026</x:v>
      </x:c>
      <x:c r="J144" s="26" t="str">
        <x:v>SKU精确匹配</x:v>
      </x:c>
    </x:row>
    <x:row r="145">
      <x:c r="A145" s="24" t="str">
        <x:v>HB ORION</x:v>
      </x:c>
      <x:c r="B145" s="24" t="str">
        <x:v>1</x:v>
      </x:c>
      <x:c r="C145" s="24" t="str">
        <x:v>万圣节</x:v>
      </x:c>
      <x:c r="D145" s="24" t="str">
        <x:v>恐怖嘉年华</x:v>
      </x:c>
      <x:c r="E145" s="25" t="n">
        <x:v>4</x:v>
      </x:c>
      <x:c r="F145" s="25" t="n">
        <x:v>6</x:v>
      </x:c>
      <x:c r="G145" s="25" t="n">
        <x:v>72</x:v>
      </x:c>
      <x:c r="H145" s="26" t="str">
        <x:v>Costume Creepy Carnival Clown Kids；Costume Laughing Madness Clown Kids；Carnival Lunatic Bat 45cm</x:v>
      </x:c>
      <x:c r="I145" s="26" t="str">
        <x:v>Halloween Catalogue 2026</x:v>
      </x:c>
      <x:c r="J145" s="26" t="str">
        <x:v>SKU精确匹配</x:v>
      </x:c>
    </x:row>
    <x:row r="146">
      <x:c r="A146" s="24" t="str">
        <x:v>HB ORION</x:v>
      </x:c>
      <x:c r="B146" s="24" t="str">
        <x:v>1</x:v>
      </x:c>
      <x:c r="C146" s="24" t="str">
        <x:v>万圣节</x:v>
      </x:c>
      <x:c r="D146" s="24" t="str">
        <x:v>骷髅与骨头</x:v>
      </x:c>
      <x:c r="E146" s="25" t="n">
        <x:v>6</x:v>
      </x:c>
      <x:c r="F146" s="25" t="n">
        <x:v>6</x:v>
      </x:c>
      <x:c r="G146" s="25" t="n">
        <x:v>36</x:v>
      </x:c>
      <x:c r="H146" s="26" t="str">
        <x:v>Costume Fluro Bone Rattler Kids；Costume Double Headed Skeleton Kids；Costume Spookster Skeleton Kids</x:v>
      </x:c>
      <x:c r="I146" s="26" t="str">
        <x:v>Halloween Catalogue 2026</x:v>
      </x:c>
      <x:c r="J146" s="26" t="str">
        <x:v>SKU精确匹配</x:v>
      </x:c>
    </x:row>
    <x:row r="147">
      <x:c r="A147" s="24" t="str">
        <x:v>HB ORION</x:v>
      </x:c>
      <x:c r="B147" s="24" t="str">
        <x:v>1</x:v>
      </x:c>
      <x:c r="C147" s="24" t="str">
        <x:v>万圣节</x:v>
      </x:c>
      <x:c r="D147" s="24" t="str">
        <x:v>邪恶恐怖</x:v>
      </x:c>
      <x:c r="E147" s="25" t="n">
        <x:v>3</x:v>
      </x:c>
      <x:c r="F147" s="25" t="n">
        <x:v>6</x:v>
      </x:c>
      <x:c r="G147" s="25" t="n">
        <x:v>36</x:v>
      </x:c>
      <x:c r="H147" s="26" t="str">
        <x:v>Costume Horror Killer Kids；Costume Horror Killer Adults；Costume Demon Adults</x:v>
      </x:c>
      <x:c r="I147" s="26" t="str">
        <x:v>Halloween Catalogue 2026</x:v>
      </x:c>
      <x:c r="J147" s="26" t="str">
        <x:v>基础SKU+尺码后缀</x:v>
      </x:c>
    </x:row>
    <x:row r="148">
      <x:c r="A148" s="24" t="str">
        <x:v>HB ORION</x:v>
      </x:c>
      <x:c r="B148" s="24" t="str">
        <x:v>1</x:v>
      </x:c>
      <x:c r="C148" s="24" t="str">
        <x:v>万圣节</x:v>
      </x:c>
      <x:c r="D148" s="24" t="str">
        <x:v>不给糖就捣蛋与派对</x:v>
      </x:c>
      <x:c r="E148" s="25" t="n">
        <x:v>3</x:v>
      </x:c>
      <x:c r="F148" s="25" t="n">
        <x:v>5</x:v>
      </x:c>
      <x:c r="G148" s="25" t="n">
        <x:v>156</x:v>
      </x:c>
      <x:c r="H148" s="26" t="str">
        <x:v>Non-Woven Printed Tote Bag 32cm Asst；Skull Wine Glass 350mL；Creepy Tablecloth 2.6m x 1.3m Asst</x:v>
      </x:c>
      <x:c r="I148" s="26" t="str">
        <x:v>Halloween Catalogue 2026</x:v>
      </x:c>
      <x:c r="J148" s="26" t="str">
        <x:v>SKU精确匹配</x:v>
      </x:c>
    </x:row>
    <x:row r="149">
      <x:c r="A149" s="24" t="str">
        <x:v>HB ORION</x:v>
      </x:c>
      <x:c r="B149" s="24" t="str">
        <x:v>1</x:v>
      </x:c>
      <x:c r="C149" s="24" t="str">
        <x:v>万圣节</x:v>
      </x:c>
      <x:c r="D149" s="24" t="str">
        <x:v>儿童趣味</x:v>
      </x:c>
      <x:c r="E149" s="25" t="n">
        <x:v>3</x:v>
      </x:c>
      <x:c r="F149" s="25" t="n">
        <x:v>5</x:v>
      </x:c>
      <x:c r="G149" s="25" t="n">
        <x:v>144</x:v>
      </x:c>
      <x:c r="H149" s="26" t="str">
        <x:v>Spooktacular Duckie Asst；G.I.D Spooktastic Stickers Asst；Squishy Eye Ball Asst</x:v>
      </x:c>
      <x:c r="I149" s="26" t="str">
        <x:v>Halloween Catalogue 2026</x:v>
      </x:c>
      <x:c r="J149" s="26" t="str">
        <x:v>SKU精确匹配</x:v>
      </x:c>
    </x:row>
    <x:row r="150">
      <x:c r="A150" s="24" t="str">
        <x:v>HB ORION</x:v>
      </x:c>
      <x:c r="B150" s="24" t="str">
        <x:v>1</x:v>
      </x:c>
      <x:c r="C150" s="24" t="str">
        <x:v>万圣节</x:v>
      </x:c>
      <x:c r="D150" s="24" t="str">
        <x:v>女巫</x:v>
      </x:c>
      <x:c r="E150" s="25" t="n">
        <x:v>3</x:v>
      </x:c>
      <x:c r="F150" s="25" t="n">
        <x:v>5</x:v>
      </x:c>
      <x:c r="G150" s="25" t="n">
        <x:v>66</x:v>
      </x:c>
      <x:c r="H150" s="26" t="str">
        <x:v>Witch Broom 1.05m Asst；Witch Hat With Spider Web Veil Asst；Costume Starlight Witch Kids</x:v>
      </x:c>
      <x:c r="I150" s="26" t="str">
        <x:v>Halloween Catalogue 2026</x:v>
      </x:c>
      <x:c r="J150" s="26" t="str">
        <x:v>SKU精确匹配</x:v>
      </x:c>
    </x:row>
    <x:row r="151">
      <x:c r="A151" s="24" t="str">
        <x:v>HB ORION</x:v>
      </x:c>
      <x:c r="B151" s="24" t="str">
        <x:v>1</x:v>
      </x:c>
      <x:c r="C151" s="24" t="str">
        <x:v>万圣节</x:v>
      </x:c>
      <x:c r="D151" s="24" t="str">
        <x:v>僵尸</x:v>
      </x:c>
      <x:c r="E151" s="25" t="n">
        <x:v>3</x:v>
      </x:c>
      <x:c r="F151" s="25" t="n">
        <x:v>4</x:v>
      </x:c>
      <x:c r="G151" s="25" t="n">
        <x:v>42</x:v>
      </x:c>
      <x:c r="H151" s="26" t="str">
        <x:v>Costume Zombie Prisoner Kids；Bloody Weapons Asst；Costume Zombie Prom Queen Kids</x:v>
      </x:c>
      <x:c r="I151" s="26" t="str">
        <x:v>Halloween Catalogue 2026</x:v>
      </x:c>
      <x:c r="J151" s="26" t="str">
        <x:v>SKU精确匹配</x:v>
      </x:c>
    </x:row>
    <x:row r="152">
      <x:c r="A152" s="24" t="str">
        <x:v>HB ORION</x:v>
      </x:c>
      <x:c r="B152" s="24" t="str">
        <x:v>1</x:v>
      </x:c>
      <x:c r="C152" s="24" t="str">
        <x:v>万圣节</x:v>
      </x:c>
      <x:c r="D152" s="24" t="str">
        <x:v>特效与化妆</x:v>
      </x:c>
      <x:c r="E152" s="25" t="n">
        <x:v>2</x:v>
      </x:c>
      <x:c r="F152" s="25" t="n">
        <x:v>3</x:v>
      </x:c>
      <x:c r="G152" s="25" t="n">
        <x:v>96</x:v>
      </x:c>
      <x:c r="H152" s="26" t="str">
        <x:v>Hair Chalk Asst；G.I.D Makeup Set</x:v>
      </x:c>
      <x:c r="I152" s="26" t="str">
        <x:v>Halloween Catalogue 2026</x:v>
      </x:c>
      <x:c r="J152" s="26" t="str">
        <x:v>SKU精确匹配</x:v>
      </x:c>
    </x:row>
    <x:row r="153">
      <x:c r="A153" s="24" t="str">
        <x:v>HB ORION</x:v>
      </x:c>
      <x:c r="B153" s="24" t="str">
        <x:v>1</x:v>
      </x:c>
      <x:c r="C153" s="24" t="str">
        <x:v>万圣节</x:v>
      </x:c>
      <x:c r="D153" s="24" t="str">
        <x:v>面具</x:v>
      </x:c>
      <x:c r="E153" s="25" t="n">
        <x:v>2</x:v>
      </x:c>
      <x:c r="F153" s="25" t="n">
        <x:v>3</x:v>
      </x:c>
      <x:c r="G153" s="25" t="n">
        <x:v>72</x:v>
      </x:c>
      <x:c r="H153" s="26" t="str">
        <x:v>Creepy Clown Asst；Cracked Skull Hooded Mask Asst</x:v>
      </x:c>
      <x:c r="I153" s="26" t="str">
        <x:v>Halloween Catalogue 2026</x:v>
      </x:c>
      <x:c r="J153" s="26" t="str">
        <x:v>SKU精确匹配</x:v>
      </x:c>
    </x:row>
    <x:row r="154">
      <x:c r="A154" s="24" t="str">
        <x:v>HB ORION</x:v>
      </x:c>
      <x:c r="B154" s="24" t="str">
        <x:v>1</x:v>
      </x:c>
      <x:c r="C154" s="24" t="str">
        <x:v>万圣节</x:v>
      </x:c>
      <x:c r="D154" s="24" t="str">
        <x:v>骷髅与庭院装饰</x:v>
      </x:c>
      <x:c r="E154" s="25" t="n">
        <x:v>2</x:v>
      </x:c>
      <x:c r="F154" s="25" t="n">
        <x:v>2</x:v>
      </x:c>
      <x:c r="G154" s="25" t="n">
        <x:v>30</x:v>
      </x:c>
      <x:c r="H154" s="26" t="str">
        <x:v>Moss Decor 20g；G.I.D Alien Skeleton 1m</x:v>
      </x:c>
      <x:c r="I154" s="26" t="str">
        <x:v>Halloween Catalogue 2026</x:v>
      </x:c>
      <x:c r="J154" s="26" t="str">
        <x:v>SKU精确匹配</x:v>
      </x:c>
    </x:row>
    <x:row r="155">
      <x:c r="A155" s="24" t="str">
        <x:v>HB ORION</x:v>
      </x:c>
      <x:c r="B155" s="24" t="str">
        <x:v>1</x:v>
      </x:c>
      <x:c r="C155" s="24" t="str">
        <x:v>万圣节</x:v>
      </x:c>
      <x:c r="D155" s="24" t="str">
        <x:v>吸血鬼</x:v>
      </x:c>
      <x:c r="E155" s="25" t="n">
        <x:v>2</x:v>
      </x:c>
      <x:c r="F155" s="25" t="n">
        <x:v>2</x:v>
      </x:c>
      <x:c r="G155" s="25" t="n">
        <x:v>12</x:v>
      </x:c>
      <x:c r="H155" s="26" t="str">
        <x:v>Costume Vampire Queen Adult；Costume Little Count Dracula Kids</x:v>
      </x:c>
      <x:c r="I155" s="26" t="str">
        <x:v>Halloween Catalogue 2026</x:v>
      </x:c>
      <x:c r="J155" s="26" t="str">
        <x:v>SKU精确匹配</x:v>
      </x:c>
    </x:row>
    <x:row r="156">
      <x:c r="A156" s="24" t="str">
        <x:v>HB ORION</x:v>
      </x:c>
      <x:c r="B156" s="24" t="str">
        <x:v>1</x:v>
      </x:c>
      <x:c r="C156" s="24" t="str">
        <x:v>万圣节</x:v>
      </x:c>
      <x:c r="D156" s="24" t="str">
        <x:v>悬挂/站立装饰</x:v>
      </x:c>
      <x:c r="E156" s="25" t="n">
        <x:v>1</x:v>
      </x:c>
      <x:c r="F156" s="25" t="n">
        <x:v>1</x:v>
      </x:c>
      <x:c r="G156" s="25" t="n">
        <x:v>8</x:v>
      </x:c>
      <x:c r="H156" s="26" t="str">
        <x:v>Hanging Green Monster 1.5m</x:v>
      </x:c>
      <x:c r="I156" s="26" t="str">
        <x:v>Halloween Catalogue 2026</x:v>
      </x:c>
      <x:c r="J156" s="26" t="str">
        <x:v>SKU精确匹配</x:v>
      </x:c>
    </x:row>
    <x:row r="157">
      <x:c r="A157" s="24" t="str">
        <x:v>HB ORION</x:v>
      </x:c>
      <x:c r="B157" s="24" t="str">
        <x:v>1</x:v>
      </x:c>
      <x:c r="C157" s="24" t="str">
        <x:v>万圣节</x:v>
      </x:c>
      <x:c r="D157" s="24" t="str">
        <x:v>恶魔</x:v>
      </x:c>
      <x:c r="E157" s="25" t="n">
        <x:v>1</x:v>
      </x:c>
      <x:c r="F157" s="25" t="n">
        <x:v>1</x:v>
      </x:c>
      <x:c r="G157" s="25" t="n">
        <x:v>6</x:v>
      </x:c>
      <x:c r="H157" s="26" t="str">
        <x:v>Costume Black and Red Devil Kids</x:v>
      </x:c>
      <x:c r="I157" s="26" t="str">
        <x:v>Halloween Catalogue 2026</x:v>
      </x:c>
      <x:c r="J157" s="26" t="str">
        <x:v>SKU精确匹配</x:v>
      </x:c>
    </x:row>
    <x:row r="158">
      <x:c r="A158" s="24" t="str">
        <x:v>HB ORION</x:v>
      </x:c>
      <x:c r="B158" s="24" t="str">
        <x:v>1</x:v>
      </x:c>
      <x:c r="C158" s="24" t="str">
        <x:v>万圣节</x:v>
      </x:c>
      <x:c r="D158" s="24" t="str">
        <x:v>机械动画装饰</x:v>
      </x:c>
      <x:c r="E158" s="25" t="n">
        <x:v>1</x:v>
      </x:c>
      <x:c r="F158" s="25" t="n">
        <x:v>1</x:v>
      </x:c>
      <x:c r="G158" s="25" t="n">
        <x:v>1</x:v>
      </x:c>
      <x:c r="H158" s="26" t="str">
        <x:v>Animated Headless Death Knight 2.1m</x:v>
      </x:c>
      <x:c r="I158" s="26" t="str">
        <x:v>Halloween Catalogue 2026</x:v>
      </x:c>
      <x:c r="J158" s="26" t="str">
        <x:v>SKU精确匹配</x:v>
      </x:c>
    </x:row>
    <x:row r="159">
      <x:c r="A159" s="24" t="str">
        <x:v>HB ORION</x:v>
      </x:c>
      <x:c r="B159" s="24" t="str">
        <x:v>2</x:v>
      </x:c>
      <x:c r="C159" s="24" t="str">
        <x:v>万圣节</x:v>
      </x:c>
      <x:c r="D159" s="24" t="str">
        <x:v>万圣节装饰</x:v>
      </x:c>
      <x:c r="E159" s="25" t="n">
        <x:v>18</x:v>
      </x:c>
      <x:c r="F159" s="25" t="n">
        <x:v>29</x:v>
      </x:c>
      <x:c r="G159" s="25" t="n">
        <x:v>716</x:v>
      </x:c>
      <x:c r="H159" s="26" t="str">
        <x:v>Horror Doorway Curtain 1.8m Asst；Severed Hand Asst；Warning Fright Tapes 3m 3pk Asst</x:v>
      </x:c>
      <x:c r="I159" s="26" t="str">
        <x:v>Halloween Catalogue 2026</x:v>
      </x:c>
      <x:c r="J159" s="26" t="str">
        <x:v>SKU精确匹配</x:v>
      </x:c>
    </x:row>
    <x:row r="160">
      <x:c r="A160" s="24" t="str">
        <x:v>HB ORION</x:v>
      </x:c>
      <x:c r="B160" s="24" t="str">
        <x:v>2</x:v>
      </x:c>
      <x:c r="C160" s="24" t="str">
        <x:v>万圣节</x:v>
      </x:c>
      <x:c r="D160" s="24" t="str">
        <x:v>特效与化妆</x:v>
      </x:c>
      <x:c r="E160" s="25" t="n">
        <x:v>6</x:v>
      </x:c>
      <x:c r="F160" s="25" t="n">
        <x:v>11</x:v>
      </x:c>
      <x:c r="G160" s="25" t="n">
        <x:v>420</x:v>
      </x:c>
      <x:c r="H160" s="26" t="str">
        <x:v>Fake Blood 14mL；Gory Bloody Tattoos Asst；Fake Blood 30mL</x:v>
      </x:c>
      <x:c r="I160" s="26" t="str">
        <x:v>Halloween Catalogue 2026</x:v>
      </x:c>
      <x:c r="J160" s="26" t="str">
        <x:v>SKU精确匹配</x:v>
      </x:c>
    </x:row>
    <x:row r="161">
      <x:c r="A161" s="24" t="str">
        <x:v>HB ORION</x:v>
      </x:c>
      <x:c r="B161" s="24" t="str">
        <x:v>2</x:v>
      </x:c>
      <x:c r="C161" s="24" t="str">
        <x:v>万圣节</x:v>
      </x:c>
      <x:c r="D161" s="24" t="str">
        <x:v>骷髅与骨头</x:v>
      </x:c>
      <x:c r="E161" s="25" t="n">
        <x:v>2</x:v>
      </x:c>
      <x:c r="F161" s="25" t="n">
        <x:v>11</x:v>
      </x:c>
      <x:c r="G161" s="25" t="n">
        <x:v>66</x:v>
      </x:c>
      <x:c r="H161" s="26" t="str">
        <x:v>Costume G.I.D Skeleton Kids；Costume Starlit Skeleton Kids</x:v>
      </x:c>
      <x:c r="I161" s="26" t="str">
        <x:v>Halloween Catalogue 2026</x:v>
      </x:c>
      <x:c r="J161" s="26" t="str">
        <x:v>SKU精确匹配</x:v>
      </x:c>
    </x:row>
    <x:row r="162">
      <x:c r="A162" s="24" t="str">
        <x:v>HB ORION</x:v>
      </x:c>
      <x:c r="B162" s="24" t="str">
        <x:v>2</x:v>
      </x:c>
      <x:c r="C162" s="24" t="str">
        <x:v>万圣节</x:v>
      </x:c>
      <x:c r="D162" s="24" t="str">
        <x:v>恐怖嘉年华</x:v>
      </x:c>
      <x:c r="E162" s="25" t="n">
        <x:v>6</x:v>
      </x:c>
      <x:c r="F162" s="25" t="n">
        <x:v>10</x:v>
      </x:c>
      <x:c r="G162" s="25" t="n">
        <x:v>126</x:v>
      </x:c>
      <x:c r="H162" s="26" t="str">
        <x:v>Sinister Clown Mask Asst；Clown Hooded Mask Asst；Costume Evil Carnival Clown Kids</x:v>
      </x:c>
      <x:c r="I162" s="26" t="str">
        <x:v>Halloween Catalogue 2026</x:v>
      </x:c>
      <x:c r="J162" s="26" t="str">
        <x:v>SKU精确匹配</x:v>
      </x:c>
    </x:row>
    <x:row r="163">
      <x:c r="A163" s="24" t="str">
        <x:v>HB ORION</x:v>
      </x:c>
      <x:c r="B163" s="24" t="str">
        <x:v>2</x:v>
      </x:c>
      <x:c r="C163" s="24" t="str">
        <x:v>万圣节</x:v>
      </x:c>
      <x:c r="D163" s="24" t="str">
        <x:v>儿童趣味</x:v>
      </x:c>
      <x:c r="E163" s="25" t="n">
        <x:v>5</x:v>
      </x:c>
      <x:c r="F163" s="25" t="n">
        <x:v>8</x:v>
      </x:c>
      <x:c r="G163" s="25" t="n">
        <x:v>192</x:v>
      </x:c>
      <x:c r="H163" s="26" t="str">
        <x:v>Spook-N-Seek Treasure Chest Asst；Spooky Squeeze Figurines Asst；Projection Camera Asst</x:v>
      </x:c>
      <x:c r="I163" s="26" t="str">
        <x:v>Halloween Catalogue 2026</x:v>
      </x:c>
      <x:c r="J163" s="26" t="str">
        <x:v>SKU精确匹配</x:v>
      </x:c>
    </x:row>
    <x:row r="164">
      <x:c r="A164" s="24" t="str">
        <x:v>HB ORION</x:v>
      </x:c>
      <x:c r="B164" s="24" t="str">
        <x:v>2</x:v>
      </x:c>
      <x:c r="C164" s="24" t="str">
        <x:v>万圣节</x:v>
      </x:c>
      <x:c r="D164" s="24" t="str">
        <x:v>装扮与配饰</x:v>
      </x:c>
      <x:c r="E164" s="25" t="n">
        <x:v>6</x:v>
      </x:c>
      <x:c r="F164" s="25" t="n">
        <x:v>7</x:v>
      </x:c>
      <x:c r="G164" s="25" t="n">
        <x:v>144</x:v>
      </x:c>
      <x:c r="H164" s="26" t="str">
        <x:v>Nurse Set；Bloody Weapons Earrings Asst；Skeleton Hand Necklace 20cm</x:v>
      </x:c>
      <x:c r="I164" s="26" t="str">
        <x:v>Halloween Catalogue 2026</x:v>
      </x:c>
      <x:c r="J164" s="26" t="str">
        <x:v>SKU精确匹配</x:v>
      </x:c>
    </x:row>
    <x:row r="165">
      <x:c r="A165" s="24" t="str">
        <x:v>HB ORION</x:v>
      </x:c>
      <x:c r="B165" s="24" t="str">
        <x:v>2</x:v>
      </x:c>
      <x:c r="C165" s="24" t="str">
        <x:v>万圣节</x:v>
      </x:c>
      <x:c r="D165" s="24" t="str">
        <x:v>悬挂/站立装饰</x:v>
      </x:c>
      <x:c r="E165" s="25" t="n">
        <x:v>5</x:v>
      </x:c>
      <x:c r="F165" s="25" t="n">
        <x:v>6</x:v>
      </x:c>
      <x:c r="G165" s="25" t="n">
        <x:v>84</x:v>
      </x:c>
      <x:c r="H165" s="26" t="str">
        <x:v>Hanging Ghost 90cm；Hanging Horror Figures 60cm；Hanging Haunted Nun 50cm</x:v>
      </x:c>
      <x:c r="I165" s="26" t="str">
        <x:v>Halloween Catalogue 2026</x:v>
      </x:c>
      <x:c r="J165" s="26" t="str">
        <x:v>SKU精确匹配</x:v>
      </x:c>
    </x:row>
    <x:row r="166">
      <x:c r="A166" s="24" t="str">
        <x:v>HB ORION</x:v>
      </x:c>
      <x:c r="B166" s="24" t="str">
        <x:v>2</x:v>
      </x:c>
      <x:c r="C166" s="24" t="str">
        <x:v>万圣节</x:v>
      </x:c>
      <x:c r="D166" s="24" t="str">
        <x:v>女巫</x:v>
      </x:c>
      <x:c r="E166" s="25" t="n">
        <x:v>6</x:v>
      </x:c>
      <x:c r="F166" s="25" t="n">
        <x:v>6</x:v>
      </x:c>
      <x:c r="G166" s="25" t="n">
        <x:v>54</x:v>
      </x:c>
      <x:c r="H166" s="26" t="str">
        <x:v>Basic Witch Accessories；Costume Enchanted Witch Toddler；Costume Twilight Spellcaster Witch Kids</x:v>
      </x:c>
      <x:c r="I166" s="26" t="str">
        <x:v>Halloween Catalogue 2026</x:v>
      </x:c>
      <x:c r="J166" s="26" t="str">
        <x:v>SKU精确匹配</x:v>
      </x:c>
    </x:row>
    <x:row r="167">
      <x:c r="A167" s="24" t="str">
        <x:v>HB ORION</x:v>
      </x:c>
      <x:c r="B167" s="24" t="str">
        <x:v>2</x:v>
      </x:c>
      <x:c r="C167" s="24" t="str">
        <x:v>万圣节</x:v>
      </x:c>
      <x:c r="D167" s="24" t="str">
        <x:v>骷髅与庭院装饰</x:v>
      </x:c>
      <x:c r="E167" s="25" t="n">
        <x:v>4</x:v>
      </x:c>
      <x:c r="F167" s="25" t="n">
        <x:v>5</x:v>
      </x:c>
      <x:c r="G167" s="25" t="n">
        <x:v>96</x:v>
      </x:c>
      <x:c r="H167" s="26" t="str">
        <x:v>Bony Hand Stake 30cm Asst；Tombstone 41cm Asst；Hanging Skeleton 80cm</x:v>
      </x:c>
      <x:c r="I167" s="26" t="str">
        <x:v>Halloween Catalogue 2026</x:v>
      </x:c>
      <x:c r="J167" s="26" t="str">
        <x:v>SKU精确匹配</x:v>
      </x:c>
    </x:row>
    <x:row r="168">
      <x:c r="A168" s="24" t="str">
        <x:v>HB ORION</x:v>
      </x:c>
      <x:c r="B168" s="24" t="str">
        <x:v>2</x:v>
      </x:c>
      <x:c r="C168" s="24" t="str">
        <x:v>万圣节</x:v>
      </x:c>
      <x:c r="D168" s="24" t="str">
        <x:v>邪恶恐怖</x:v>
      </x:c>
      <x:c r="E168" s="25" t="n">
        <x:v>2</x:v>
      </x:c>
      <x:c r="F168" s="25" t="n">
        <x:v>5</x:v>
      </x:c>
      <x:c r="G168" s="25" t="n">
        <x:v>48</x:v>
      </x:c>
      <x:c r="H168" s="26" t="str">
        <x:v>Costume Demon Kids；Soul Screamer Hooded Mask</x:v>
      </x:c>
      <x:c r="I168" s="26" t="str">
        <x:v>Halloween Catalogue 2026</x:v>
      </x:c>
      <x:c r="J168" s="26" t="str">
        <x:v>SKU精确匹配</x:v>
      </x:c>
    </x:row>
    <x:row r="169">
      <x:c r="A169" s="24" t="str">
        <x:v>HB ORION</x:v>
      </x:c>
      <x:c r="B169" s="24" t="str">
        <x:v>2</x:v>
      </x:c>
      <x:c r="C169" s="24" t="str">
        <x:v>万圣节</x:v>
      </x:c>
      <x:c r="D169" s="24" t="str">
        <x:v>武器道具</x:v>
      </x:c>
      <x:c r="E169" s="25" t="n">
        <x:v>2</x:v>
      </x:c>
      <x:c r="F169" s="25" t="n">
        <x:v>4</x:v>
      </x:c>
      <x:c r="G169" s="25" t="n">
        <x:v>120</x:v>
      </x:c>
      <x:c r="H169" s="26" t="str">
        <x:v>Battle Weapons Asst；Retractable Knife 25.5cm</x:v>
      </x:c>
      <x:c r="I169" s="26" t="str">
        <x:v>Halloween Catalogue 2026</x:v>
      </x:c>
      <x:c r="J169" s="26" t="str">
        <x:v>SKU精确匹配</x:v>
      </x:c>
    </x:row>
    <x:row r="170">
      <x:c r="A170" s="24" t="str">
        <x:v>HB ORION</x:v>
      </x:c>
      <x:c r="B170" s="24" t="str">
        <x:v>2</x:v>
      </x:c>
      <x:c r="C170" s="24" t="str">
        <x:v>万圣节</x:v>
      </x:c>
      <x:c r="D170" s="24" t="str">
        <x:v>恶魔</x:v>
      </x:c>
      <x:c r="E170" s="25" t="n">
        <x:v>4</x:v>
      </x:c>
      <x:c r="F170" s="25" t="n">
        <x:v>4</x:v>
      </x:c>
      <x:c r="G170" s="25" t="n">
        <x:v>60</x:v>
      </x:c>
      <x:c r="H170" s="26" t="str">
        <x:v>Devil Dress Up Tutu Kids Asst；Devil Accessory Set Kids；Costume Firestorm Devil Kids</x:v>
      </x:c>
      <x:c r="I170" s="26" t="str">
        <x:v>Halloween Catalogue 2026</x:v>
      </x:c>
      <x:c r="J170" s="26" t="str">
        <x:v>SKU精确匹配</x:v>
      </x:c>
    </x:row>
    <x:row r="171">
      <x:c r="A171" s="24" t="str">
        <x:v>HB ORION</x:v>
      </x:c>
      <x:c r="B171" s="24" t="str">
        <x:v>2</x:v>
      </x:c>
      <x:c r="C171" s="24" t="str">
        <x:v>万圣节</x:v>
      </x:c>
      <x:c r="D171" s="24" t="str">
        <x:v>粉色恐怖</x:v>
      </x:c>
      <x:c r="E171" s="25" t="n">
        <x:v>3</x:v>
      </x:c>
      <x:c r="F171" s="25" t="n">
        <x:v>4</x:v>
      </x:c>
      <x:c r="G171" s="25" t="n">
        <x:v>48</x:v>
      </x:c>
      <x:c r="H171" s="26" t="str">
        <x:v>Pink Cat Mask；Costume Pink Scream Kids；Costume Pink Scream Adults</x:v>
      </x:c>
      <x:c r="I171" s="26" t="str">
        <x:v>Halloween Catalogue 2026</x:v>
      </x:c>
      <x:c r="J171" s="26" t="str">
        <x:v>SKU精确匹配</x:v>
      </x:c>
    </x:row>
    <x:row r="172">
      <x:c r="A172" s="24" t="str">
        <x:v>HB ORION</x:v>
      </x:c>
      <x:c r="B172" s="24" t="str">
        <x:v>2</x:v>
      </x:c>
      <x:c r="C172" s="24" t="str">
        <x:v>万圣节</x:v>
      </x:c>
      <x:c r="D172" s="24" t="str">
        <x:v>通用服装</x:v>
      </x:c>
      <x:c r="E172" s="25" t="n">
        <x:v>4</x:v>
      </x:c>
      <x:c r="F172" s="25" t="n">
        <x:v>4</x:v>
      </x:c>
      <x:c r="G172" s="25" t="n">
        <x:v>24</x:v>
      </x:c>
      <x:c r="H172" s="26" t="str">
        <x:v>Costume Gothic Princess Kids；Costume Bloody Mad Doctor Adults；Costume Prisoner Adults</x:v>
      </x:c>
      <x:c r="I172" s="26" t="str">
        <x:v>Halloween Catalogue 2026</x:v>
      </x:c>
      <x:c r="J172" s="26" t="str">
        <x:v>SKU精确匹配</x:v>
      </x:c>
    </x:row>
    <x:row r="173">
      <x:c r="A173" s="24" t="str">
        <x:v>HB ORION</x:v>
      </x:c>
      <x:c r="B173" s="24" t="str">
        <x:v>2</x:v>
      </x:c>
      <x:c r="C173" s="24" t="str">
        <x:v>万圣节</x:v>
      </x:c>
      <x:c r="D173" s="24" t="str">
        <x:v>面具</x:v>
      </x:c>
      <x:c r="E173" s="25" t="n">
        <x:v>2</x:v>
      </x:c>
      <x:c r="F173" s="25" t="n">
        <x:v>3</x:v>
      </x:c>
      <x:c r="G173" s="25" t="n">
        <x:v>48</x:v>
      </x:c>
      <x:c r="H173" s="26" t="str">
        <x:v>Sinister Clown Mask；Bloodpath Phantom Hooded Mask Asst</x:v>
      </x:c>
      <x:c r="I173" s="26" t="str">
        <x:v>Halloween Catalogue 2026</x:v>
      </x:c>
      <x:c r="J173" s="26" t="str">
        <x:v>SKU精确匹配</x:v>
      </x:c>
    </x:row>
    <x:row r="174">
      <x:c r="A174" s="24" t="str">
        <x:v>HB ORION</x:v>
      </x:c>
      <x:c r="B174" s="24" t="str">
        <x:v>2</x:v>
      </x:c>
      <x:c r="C174" s="24" t="str">
        <x:v>万圣节</x:v>
      </x:c>
      <x:c r="D174" s="24" t="str">
        <x:v>吸血鬼</x:v>
      </x:c>
      <x:c r="E174" s="25" t="n">
        <x:v>2</x:v>
      </x:c>
      <x:c r="F174" s="25" t="n">
        <x:v>3</x:v>
      </x:c>
      <x:c r="G174" s="25" t="n">
        <x:v>18</x:v>
      </x:c>
      <x:c r="H174" s="26" t="str">
        <x:v>Costume Baby Vampire Toddlers；Costume Scarlet Night Duchess Adults</x:v>
      </x:c>
      <x:c r="I174" s="26" t="str">
        <x:v>Halloween Catalogue 2026</x:v>
      </x:c>
      <x:c r="J174" s="26" t="str">
        <x:v>SKU精确匹配</x:v>
      </x:c>
    </x:row>
    <x:row r="175">
      <x:c r="A175" s="24" t="str">
        <x:v>HB ORION</x:v>
      </x:c>
      <x:c r="B175" s="24" t="str">
        <x:v>2</x:v>
      </x:c>
      <x:c r="C175" s="24" t="str">
        <x:v>万圣节</x:v>
      </x:c>
      <x:c r="D175" s="24" t="str">
        <x:v>不给糖就捣蛋与派对</x:v>
      </x:c>
      <x:c r="E175" s="25" t="n">
        <x:v>1</x:v>
      </x:c>
      <x:c r="F175" s="25" t="n">
        <x:v>1</x:v>
      </x:c>
      <x:c r="G175" s="25" t="n">
        <x:v>24</x:v>
      </x:c>
      <x:c r="H175" s="26" t="str">
        <x:v>Skull-Hand Champagne Glass 150mL Asst</x:v>
      </x:c>
      <x:c r="I175" s="26" t="str">
        <x:v>Halloween Catalogue 2026</x:v>
      </x:c>
      <x:c r="J175" s="26" t="str">
        <x:v>SKU精确匹配</x:v>
      </x:c>
    </x:row>
    <x:row r="176">
      <x:c r="A176" s="24" t="str">
        <x:v>HB ORION</x:v>
      </x:c>
      <x:c r="B176" s="24" t="str">
        <x:v>2</x:v>
      </x:c>
      <x:c r="C176" s="24" t="str">
        <x:v>万圣节</x:v>
      </x:c>
      <x:c r="D176" s="24" t="str">
        <x:v>僵尸</x:v>
      </x:c>
      <x:c r="E176" s="25" t="n">
        <x:v>1</x:v>
      </x:c>
      <x:c r="F176" s="25" t="n">
        <x:v>1</x:v>
      </x:c>
      <x:c r="G176" s="25" t="n">
        <x:v>6</x:v>
      </x:c>
      <x:c r="H176" s="26" t="str">
        <x:v>Costume Bloody Crazed Doctor Adults</x:v>
      </x:c>
      <x:c r="I176" s="26" t="str">
        <x:v>Halloween Catalogue 2026</x:v>
      </x:c>
      <x:c r="J176" s="26" t="str">
        <x:v>SKU精确匹配</x:v>
      </x:c>
    </x:row>
    <x:row r="177">
      <x:c r="A177" s="24" t="str">
        <x:v>HB ORION</x:v>
      </x:c>
      <x:c r="B177" s="24" t="str">
        <x:v>2</x:v>
      </x:c>
      <x:c r="C177" s="24" t="str">
        <x:v>万圣节</x:v>
      </x:c>
      <x:c r="D177" s="24" t="str">
        <x:v>机械动画装饰</x:v>
      </x:c>
      <x:c r="E177" s="25" t="n">
        <x:v>1</x:v>
      </x:c>
      <x:c r="F177" s="25" t="n">
        <x:v>1</x:v>
      </x:c>
      <x:c r="G177" s="25" t="n">
        <x:v>6</x:v>
      </x:c>
      <x:c r="H177" s="26" t="str">
        <x:v>Animated Spider 1.2m</x:v>
      </x:c>
      <x:c r="I177" s="26" t="str">
        <x:v>Halloween Catalogue 2026</x:v>
      </x:c>
      <x:c r="J177" s="26" t="str">
        <x:v>SKU精确匹配</x:v>
      </x:c>
    </x:row>
    <x:row r="178">
      <x:c r="A178" s="24" t="str">
        <x:v>HB ORION</x:v>
      </x:c>
      <x:c r="B178" s="24" t="str">
        <x:v>2</x:v>
      </x:c>
      <x:c r="C178" s="24" t="str">
        <x:v>万圣节</x:v>
      </x:c>
      <x:c r="D178" s="24" t="str">
        <x:v>疯人院</x:v>
      </x:c>
      <x:c r="E178" s="25" t="n">
        <x:v>1</x:v>
      </x:c>
      <x:c r="F178" s="25" t="n">
        <x:v>1</x:v>
      </x:c>
      <x:c r="G178" s="25" t="n">
        <x:v>6</x:v>
      </x:c>
      <x:c r="H178" s="26" t="str">
        <x:v>Costume Bloody Nurse Adults</x:v>
      </x:c>
      <x:c r="I178" s="26" t="str">
        <x:v>Halloween Catalogue 2026</x:v>
      </x:c>
      <x:c r="J178" s="26" t="str">
        <x:v>SKU精确匹配</x:v>
      </x:c>
    </x:row>
    <x:row r="179">
      <x:c r="A179" s="24" t="str">
        <x:v>HB ORION</x:v>
      </x:c>
      <x:c r="B179" s="24" t="str">
        <x:v>3</x:v>
      </x:c>
      <x:c r="C179" s="24" t="str">
        <x:v>万圣节</x:v>
      </x:c>
      <x:c r="D179" s="24" t="str">
        <x:v>万圣节装饰</x:v>
      </x:c>
      <x:c r="E179" s="25" t="n">
        <x:v>5</x:v>
      </x:c>
      <x:c r="F179" s="25" t="n">
        <x:v>20</x:v>
      </x:c>
      <x:c r="G179" s="25" t="n">
        <x:v>432</x:v>
      </x:c>
      <x:c r="H179" s="26" t="str">
        <x:v>Tinsel Laser Mix 2m Asst；Hanging Ghosts 22cm 6pk；Hanging Tinsel Spider Web 40cm</x:v>
      </x:c>
      <x:c r="I179" s="26" t="str">
        <x:v>Halloween Catalogue 2026</x:v>
      </x:c>
      <x:c r="J179" s="26" t="str">
        <x:v>SKU精确匹配</x:v>
      </x:c>
    </x:row>
    <x:row r="180">
      <x:c r="A180" s="24" t="str">
        <x:v>HB ORION</x:v>
      </x:c>
      <x:c r="B180" s="24" t="str">
        <x:v>3</x:v>
      </x:c>
      <x:c r="C180" s="24" t="str">
        <x:v>万圣节</x:v>
      </x:c>
      <x:c r="D180" s="24" t="str">
        <x:v>特效与化妆</x:v>
      </x:c>
      <x:c r="E180" s="25" t="n">
        <x:v>4</x:v>
      </x:c>
      <x:c r="F180" s="25" t="n">
        <x:v>10</x:v>
      </x:c>
      <x:c r="G180" s="25" t="n">
        <x:v>336</x:v>
      </x:c>
      <x:c r="H180" s="26" t="str">
        <x:v>Fake Blood Spray 60mL；Bloody Wound Tattoos Asst；Gel Blood 30mL</x:v>
      </x:c>
      <x:c r="I180" s="26" t="str">
        <x:v>Halloween Catalogue 2026</x:v>
      </x:c>
      <x:c r="J180" s="26" t="str">
        <x:v>SKU精确匹配</x:v>
      </x:c>
    </x:row>
    <x:row r="181">
      <x:c r="A181" s="24" t="str">
        <x:v>HB ORION</x:v>
      </x:c>
      <x:c r="B181" s="24" t="str">
        <x:v>3</x:v>
      </x:c>
      <x:c r="C181" s="24" t="str">
        <x:v>万圣节</x:v>
      </x:c>
      <x:c r="D181" s="24" t="str">
        <x:v>不给糖就捣蛋与派对</x:v>
      </x:c>
      <x:c r="E181" s="25" t="n">
        <x:v>3</x:v>
      </x:c>
      <x:c r="F181" s="25" t="n">
        <x:v>8</x:v>
      </x:c>
      <x:c r="G181" s="25" t="n">
        <x:v>336</x:v>
      </x:c>
      <x:c r="H181" s="26" t="str">
        <x:v>Trick Or Treat Bucket With Handle 15cm Asst；Skull Round Bowl 31.5cm；Nested Skull Buckets 3pk</x:v>
      </x:c>
      <x:c r="I181" s="26" t="str">
        <x:v>Halloween Catalogue 2026</x:v>
      </x:c>
      <x:c r="J181" s="26" t="str">
        <x:v>SKU精确匹配</x:v>
      </x:c>
    </x:row>
    <x:row r="182">
      <x:c r="A182" s="24" t="str">
        <x:v>HB ORION</x:v>
      </x:c>
      <x:c r="B182" s="24" t="str">
        <x:v>3</x:v>
      </x:c>
      <x:c r="C182" s="24" t="str">
        <x:v>万圣节</x:v>
      </x:c>
      <x:c r="D182" s="24" t="str">
        <x:v>装扮与配饰</x:v>
      </x:c>
      <x:c r="E182" s="25" t="n">
        <x:v>7</x:v>
      </x:c>
      <x:c r="F182" s="25" t="n">
        <x:v>7</x:v>
      </x:c>
      <x:c r="G182" s="25" t="n">
        <x:v>168</x:v>
      </x:c>
      <x:c r="H182" s="26" t="str">
        <x:v>Angel Dress Up Set Asst；Fishnet Stockings Adults Asst；Mobster Necklace 40cm Asst</x:v>
      </x:c>
      <x:c r="I182" s="26" t="str">
        <x:v>Halloween Catalogue 2026</x:v>
      </x:c>
      <x:c r="J182" s="26" t="str">
        <x:v>SKU精确匹配</x:v>
      </x:c>
    </x:row>
    <x:row r="183">
      <x:c r="A183" s="24" t="str">
        <x:v>HB ORION</x:v>
      </x:c>
      <x:c r="B183" s="24" t="str">
        <x:v>3</x:v>
      </x:c>
      <x:c r="C183" s="24" t="str">
        <x:v>万圣节</x:v>
      </x:c>
      <x:c r="D183" s="24" t="str">
        <x:v>骷髅与骨头</x:v>
      </x:c>
      <x:c r="E183" s="25" t="n">
        <x:v>2</x:v>
      </x:c>
      <x:c r="F183" s="25" t="n">
        <x:v>6</x:v>
      </x:c>
      <x:c r="G183" s="25" t="n">
        <x:v>54</x:v>
      </x:c>
      <x:c r="H183" s="26" t="str">
        <x:v>Costume Skeleton Toddler；Skull Mask Asst</x:v>
      </x:c>
      <x:c r="I183" s="26" t="str">
        <x:v>Halloween Catalogue 2026</x:v>
      </x:c>
      <x:c r="J183" s="26" t="str">
        <x:v>SKU精确匹配</x:v>
      </x:c>
    </x:row>
    <x:row r="184">
      <x:c r="A184" s="24" t="str">
        <x:v>HB ORION</x:v>
      </x:c>
      <x:c r="B184" s="24" t="str">
        <x:v>3</x:v>
      </x:c>
      <x:c r="C184" s="24" t="str">
        <x:v>万圣节</x:v>
      </x:c>
      <x:c r="D184" s="24" t="str">
        <x:v>武器道具</x:v>
      </x:c>
      <x:c r="E184" s="25" t="n">
        <x:v>2</x:v>
      </x:c>
      <x:c r="F184" s="25" t="n">
        <x:v>5</x:v>
      </x:c>
      <x:c r="G184" s="25" t="n">
        <x:v>132</x:v>
      </x:c>
      <x:c r="H184" s="26" t="str">
        <x:v>Bloody Dagger 33cm；Bloody Kitchen Knife 30cm Asst</x:v>
      </x:c>
      <x:c r="I184" s="26" t="str">
        <x:v>Halloween Catalogue 2026</x:v>
      </x:c>
      <x:c r="J184" s="26" t="str">
        <x:v>SKU精确匹配</x:v>
      </x:c>
    </x:row>
    <x:row r="185">
      <x:c r="A185" s="24" t="str">
        <x:v>HB ORION</x:v>
      </x:c>
      <x:c r="B185" s="24" t="str">
        <x:v>3</x:v>
      </x:c>
      <x:c r="C185" s="24" t="str">
        <x:v>万圣节</x:v>
      </x:c>
      <x:c r="D185" s="24" t="str">
        <x:v>僵尸</x:v>
      </x:c>
      <x:c r="E185" s="25" t="n">
        <x:v>1</x:v>
      </x:c>
      <x:c r="F185" s="25" t="n">
        <x:v>4</x:v>
      </x:c>
      <x:c r="G185" s="25" t="n">
        <x:v>96</x:v>
      </x:c>
      <x:c r="H185" s="26" t="str">
        <x:v>Zombie Makeup Asst</x:v>
      </x:c>
      <x:c r="I185" s="26" t="str">
        <x:v>Halloween Catalogue 2026</x:v>
      </x:c>
      <x:c r="J185" s="26" t="str">
        <x:v>SKU精确匹配</x:v>
      </x:c>
    </x:row>
    <x:row r="186">
      <x:c r="A186" s="24" t="str">
        <x:v>HB ORION</x:v>
      </x:c>
      <x:c r="B186" s="24" t="str">
        <x:v>3</x:v>
      </x:c>
      <x:c r="C186" s="24" t="str">
        <x:v>万圣节</x:v>
      </x:c>
      <x:c r="D186" s="24" t="str">
        <x:v>发光与投影</x:v>
      </x:c>
      <x:c r="E186" s="25" t="n">
        <x:v>2</x:v>
      </x:c>
      <x:c r="F186" s="25" t="n">
        <x:v>4</x:v>
      </x:c>
      <x:c r="G186" s="25" t="n">
        <x:v>20</x:v>
      </x:c>
      <x:c r="H186" s="26" t="str">
        <x:v>Bright-Smile Pumpkin Light 19cm；Spook-Smirk Pumpkin 40cm</x:v>
      </x:c>
      <x:c r="I186" s="26" t="str">
        <x:v>Halloween Catalogue 2026</x:v>
      </x:c>
      <x:c r="J186" s="26" t="str">
        <x:v>SKU精确匹配</x:v>
      </x:c>
    </x:row>
    <x:row r="187">
      <x:c r="A187" s="24" t="str">
        <x:v>HB ORION</x:v>
      </x:c>
      <x:c r="B187" s="24" t="str">
        <x:v>3</x:v>
      </x:c>
      <x:c r="C187" s="24" t="str">
        <x:v>万圣节</x:v>
      </x:c>
      <x:c r="D187" s="24" t="str">
        <x:v>粉色恐怖</x:v>
      </x:c>
      <x:c r="E187" s="25" t="n">
        <x:v>1</x:v>
      </x:c>
      <x:c r="F187" s="25" t="n">
        <x:v>3</x:v>
      </x:c>
      <x:c r="G187" s="25" t="n">
        <x:v>36</x:v>
      </x:c>
      <x:c r="H187" s="26" t="str">
        <x:v>Pink Scream Mask</x:v>
      </x:c>
      <x:c r="I187" s="26" t="str">
        <x:v>Halloween Catalogue 2026</x:v>
      </x:c>
      <x:c r="J187" s="26" t="str">
        <x:v>SKU精确匹配</x:v>
      </x:c>
    </x:row>
    <x:row r="188">
      <x:c r="A188" s="24" t="str">
        <x:v>HB ORION</x:v>
      </x:c>
      <x:c r="B188" s="24" t="str">
        <x:v>3</x:v>
      </x:c>
      <x:c r="C188" s="24" t="str">
        <x:v>万圣节</x:v>
      </x:c>
      <x:c r="D188" s="24" t="str">
        <x:v>邪恶恐怖</x:v>
      </x:c>
      <x:c r="E188" s="25" t="n">
        <x:v>2</x:v>
      </x:c>
      <x:c r="F188" s="25" t="n">
        <x:v>3</x:v>
      </x:c>
      <x:c r="G188" s="25" t="n">
        <x:v>18</x:v>
      </x:c>
      <x:c r="H188" s="26" t="str">
        <x:v>Costume Demon Adults；Costume Blade-Wielding Phantom Adults</x:v>
      </x:c>
      <x:c r="I188" s="26" t="str">
        <x:v>Halloween Catalogue 2026</x:v>
      </x:c>
      <x:c r="J188" s="26" t="str">
        <x:v>SKU精确匹配</x:v>
      </x:c>
    </x:row>
    <x:row r="189">
      <x:c r="A189" s="24" t="str">
        <x:v>HB ORION</x:v>
      </x:c>
      <x:c r="B189" s="24" t="str">
        <x:v>3</x:v>
      </x:c>
      <x:c r="C189" s="24" t="str">
        <x:v>万圣节</x:v>
      </x:c>
      <x:c r="D189" s="24" t="str">
        <x:v>儿童趣味</x:v>
      </x:c>
      <x:c r="E189" s="25" t="n">
        <x:v>2</x:v>
      </x:c>
      <x:c r="F189" s="25" t="n">
        <x:v>2</x:v>
      </x:c>
      <x:c r="G189" s="25" t="n">
        <x:v>60</x:v>
      </x:c>
      <x:c r="H189" s="26" t="str">
        <x:v>Little Spook Sticker Fun Asst；Wind Up Walking Zombie Hand</x:v>
      </x:c>
      <x:c r="I189" s="26" t="str">
        <x:v>Halloween Catalogue 2026</x:v>
      </x:c>
      <x:c r="J189" s="26" t="str">
        <x:v>SKU精确匹配</x:v>
      </x:c>
    </x:row>
    <x:row r="190">
      <x:c r="A190" s="24" t="str">
        <x:v>HB ORION</x:v>
      </x:c>
      <x:c r="B190" s="24" t="str">
        <x:v>3</x:v>
      </x:c>
      <x:c r="C190" s="24" t="str">
        <x:v>万圣节</x:v>
      </x:c>
      <x:c r="D190" s="24" t="str">
        <x:v>女巫</x:v>
      </x:c>
      <x:c r="E190" s="25" t="n">
        <x:v>1</x:v>
      </x:c>
      <x:c r="F190" s="25" t="n">
        <x:v>2</x:v>
      </x:c>
      <x:c r="G190" s="25" t="n">
        <x:v>48</x:v>
      </x:c>
      <x:c r="H190" s="26" t="str">
        <x:v>Witch Spider Web Cape Asst</x:v>
      </x:c>
      <x:c r="I190" s="26" t="str">
        <x:v>Halloween Catalogue 2026</x:v>
      </x:c>
      <x:c r="J190" s="26" t="str">
        <x:v>SKU精确匹配</x:v>
      </x:c>
    </x:row>
    <x:row r="191">
      <x:c r="A191" s="24" t="str">
        <x:v>HB ORION</x:v>
      </x:c>
      <x:c r="B191" s="24" t="str">
        <x:v>3</x:v>
      </x:c>
      <x:c r="C191" s="24" t="str">
        <x:v>万圣节</x:v>
      </x:c>
      <x:c r="D191" s="24" t="str">
        <x:v>面具</x:v>
      </x:c>
      <x:c r="E191" s="25" t="n">
        <x:v>2</x:v>
      </x:c>
      <x:c r="F191" s="25" t="n">
        <x:v>2</x:v>
      </x:c>
      <x:c r="G191" s="25" t="n">
        <x:v>36</x:v>
      </x:c>
      <x:c r="H191" s="26" t="str">
        <x:v>Stitched Clown Light Up Mask；Werewolf Latex Half Mask</x:v>
      </x:c>
      <x:c r="I191" s="26" t="str">
        <x:v>Halloween Catalogue 2026</x:v>
      </x:c>
      <x:c r="J191" s="26" t="str">
        <x:v>SKU精确匹配</x:v>
      </x:c>
    </x:row>
    <x:row r="192">
      <x:c r="A192" s="24" t="str">
        <x:v>HB ORION</x:v>
      </x:c>
      <x:c r="B192" s="24" t="str">
        <x:v>3</x:v>
      </x:c>
      <x:c r="C192" s="24" t="str">
        <x:v>万圣节</x:v>
      </x:c>
      <x:c r="D192" s="24" t="str">
        <x:v>疯人院</x:v>
      </x:c>
      <x:c r="E192" s="25" t="n">
        <x:v>2</x:v>
      </x:c>
      <x:c r="F192" s="25" t="n">
        <x:v>2</x:v>
      </x:c>
      <x:c r="G192" s="25" t="n">
        <x:v>30</x:v>
      </x:c>
      <x:c r="H192" s="26" t="str">
        <x:v>Bloody Butcher Dress Up；Costume Bloody Surgeon Adults</x:v>
      </x:c>
      <x:c r="I192" s="26" t="str">
        <x:v>Halloween Catalogue 2026</x:v>
      </x:c>
      <x:c r="J192" s="26" t="str">
        <x:v>SKU精确匹配</x:v>
      </x:c>
    </x:row>
    <x:row r="193">
      <x:c r="A193" s="24" t="str">
        <x:v>HB ORION</x:v>
      </x:c>
      <x:c r="B193" s="24" t="str">
        <x:v>3</x:v>
      </x:c>
      <x:c r="C193" s="24" t="str">
        <x:v>万圣节</x:v>
      </x:c>
      <x:c r="D193" s="24" t="str">
        <x:v>吸血鬼</x:v>
      </x:c>
      <x:c r="E193" s="25" t="n">
        <x:v>1</x:v>
      </x:c>
      <x:c r="F193" s="25" t="n">
        <x:v>1</x:v>
      </x:c>
      <x:c r="G193" s="25" t="n">
        <x:v>24</x:v>
      </x:c>
      <x:c r="H193" s="26" t="str">
        <x:v>Vampire Collared Cape 1m Asst</x:v>
      </x:c>
      <x:c r="I193" s="26" t="str">
        <x:v>Halloween Catalogue 2026</x:v>
      </x:c>
      <x:c r="J193" s="26" t="str">
        <x:v>SKU精确匹配</x:v>
      </x:c>
    </x:row>
    <x:row r="194">
      <x:c r="A194" s="24" t="str">
        <x:v>HB ORION</x:v>
      </x:c>
      <x:c r="B194" s="24" t="str">
        <x:v>3</x:v>
      </x:c>
      <x:c r="C194" s="24" t="str">
        <x:v>万圣节</x:v>
      </x:c>
      <x:c r="D194" s="24" t="str">
        <x:v>机械动画装饰</x:v>
      </x:c>
      <x:c r="E194" s="25" t="n">
        <x:v>1</x:v>
      </x:c>
      <x:c r="F194" s="25" t="n">
        <x:v>1</x:v>
      </x:c>
      <x:c r="G194" s="25" t="n">
        <x:v>12</x:v>
      </x:c>
      <x:c r="H194" s="26" t="str">
        <x:v>Animated Skull Door Bell 18.5cm Asst</x:v>
      </x:c>
      <x:c r="I194" s="26" t="str">
        <x:v>Halloween Catalogue 2026</x:v>
      </x:c>
      <x:c r="J194" s="26" t="str">
        <x:v>SKU精确匹配</x:v>
      </x:c>
    </x:row>
    <x:row r="195">
      <x:c r="A195" s="24" t="str">
        <x:v>HB ORION</x:v>
      </x:c>
      <x:c r="B195" s="24" t="str">
        <x:v>3</x:v>
      </x:c>
      <x:c r="C195" s="24" t="str">
        <x:v>万圣节</x:v>
      </x:c>
      <x:c r="D195" s="24" t="str">
        <x:v>悬挂/站立装饰</x:v>
      </x:c>
      <x:c r="E195" s="25" t="n">
        <x:v>1</x:v>
      </x:c>
      <x:c r="F195" s="25" t="n">
        <x:v>1</x:v>
      </x:c>
      <x:c r="G195" s="25" t="n">
        <x:v>12</x:v>
      </x:c>
      <x:c r="H195" s="26" t="str">
        <x:v>Hanging Bride and Groom Skeleton 1m Asst</x:v>
      </x:c>
      <x:c r="I195" s="26" t="str">
        <x:v>Halloween Catalogue 2026</x:v>
      </x:c>
      <x:c r="J195" s="26" t="str">
        <x:v>SKU精确匹配</x:v>
      </x:c>
    </x:row>
    <x:row r="196">
      <x:c r="A196" s="24" t="str">
        <x:v>HB ORION</x:v>
      </x:c>
      <x:c r="B196" s="24" t="str">
        <x:v>3</x:v>
      </x:c>
      <x:c r="C196" s="24" t="str">
        <x:v>万圣节</x:v>
      </x:c>
      <x:c r="D196" s="24" t="str">
        <x:v>骷髅与庭院装饰</x:v>
      </x:c>
      <x:c r="E196" s="25" t="n">
        <x:v>1</x:v>
      </x:c>
      <x:c r="F196" s="25" t="n">
        <x:v>1</x:v>
      </x:c>
      <x:c r="G196" s="25" t="n">
        <x:v>12</x:v>
      </x:c>
      <x:c r="H196" s="26" t="str">
        <x:v>Foam Tombstone 55cm Asst</x:v>
      </x:c>
      <x:c r="I196" s="26" t="str">
        <x:v>Halloween Catalogue 2026</x:v>
      </x:c>
      <x:c r="J196" s="26" t="str">
        <x:v>SKU精确匹配</x:v>
      </x:c>
    </x:row>
    <x:row r="197">
      <x:c r="A197" s="24" t="str">
        <x:v>HB ORION</x:v>
      </x:c>
      <x:c r="B197" s="24" t="str">
        <x:v>3</x:v>
      </x:c>
      <x:c r="C197" s="24" t="str">
        <x:v>万圣节</x:v>
      </x:c>
      <x:c r="D197" s="24" t="str">
        <x:v>通用服装</x:v>
      </x:c>
      <x:c r="E197" s="25" t="n">
        <x:v>1</x:v>
      </x:c>
      <x:c r="F197" s="25" t="n">
        <x:v>1</x:v>
      </x:c>
      <x:c r="G197" s="25" t="n">
        <x:v>6</x:v>
      </x:c>
      <x:c r="H197" s="26" t="str">
        <x:v>Costume Spider Queen Kids</x:v>
      </x:c>
      <x:c r="I197" s="26" t="str">
        <x:v>Halloween Catalogue 2026</x:v>
      </x:c>
      <x:c r="J197" s="26" t="str">
        <x:v>SKU精确匹配</x:v>
      </x:c>
    </x:row>
    <x:row r="198">
      <x:c r="A198" s="24" t="str">
        <x:v>HB ORION</x:v>
      </x:c>
      <x:c r="B198" s="24" t="str">
        <x:v>3</x:v>
      </x:c>
      <x:c r="C198" s="24" t="str">
        <x:v>万圣节</x:v>
      </x:c>
      <x:c r="D198" s="24" t="str">
        <x:v>充气装饰</x:v>
      </x:c>
      <x:c r="E198" s="25" t="n">
        <x:v>1</x:v>
      </x:c>
      <x:c r="F198" s="25" t="n">
        <x:v>1</x:v>
      </x:c>
      <x:c r="G198" s="25" t="n">
        <x:v>4</x:v>
      </x:c>
      <x:c r="H198" s="26" t="str">
        <x:v>Inflatable Skeleton Pumpkin 2.4m</x:v>
      </x:c>
      <x:c r="I198" s="26" t="str">
        <x:v>Halloween Catalogue 2026</x:v>
      </x:c>
      <x:c r="J198" s="26" t="str">
        <x:v>SKU精确匹配</x:v>
      </x:c>
    </x:row>
    <x:row r="199">
      <x:c r="A199" s="24" t="str">
        <x:v>HB ORION</x:v>
      </x:c>
      <x:c r="B199" s="24" t="str">
        <x:v>4</x:v>
      </x:c>
      <x:c r="C199" s="24" t="str">
        <x:v>万圣节</x:v>
      </x:c>
      <x:c r="D199" s="24" t="str">
        <x:v>万圣节装饰</x:v>
      </x:c>
      <x:c r="E199" s="25" t="n">
        <x:v>11</x:v>
      </x:c>
      <x:c r="F199" s="25" t="n">
        <x:v>15</x:v>
      </x:c>
      <x:c r="G199" s="25" t="n">
        <x:v>348</x:v>
      </x:c>
      <x:c r="H199" s="26" t="str">
        <x:v>Bloody Gel Window Clings Asst；Spooky Fabric 2.7m Asst；Hanging Hooked Pigs Head 38cm</x:v>
      </x:c>
      <x:c r="I199" s="26" t="str">
        <x:v>Halloween Catalogue 2026</x:v>
      </x:c>
      <x:c r="J199" s="26" t="str">
        <x:v>SKU精确匹配</x:v>
      </x:c>
    </x:row>
    <x:row r="200">
      <x:c r="A200" s="24" t="str">
        <x:v>HB ORION</x:v>
      </x:c>
      <x:c r="B200" s="24" t="str">
        <x:v>4</x:v>
      </x:c>
      <x:c r="C200" s="24" t="str">
        <x:v>万圣节</x:v>
      </x:c>
      <x:c r="D200" s="24" t="str">
        <x:v>不给糖就捣蛋与派对</x:v>
      </x:c>
      <x:c r="E200" s="25" t="n">
        <x:v>7</x:v>
      </x:c>
      <x:c r="F200" s="25" t="n">
        <x:v>13</x:v>
      </x:c>
      <x:c r="G200" s="25" t="n">
        <x:v>492</x:v>
      </x:c>
      <x:c r="H200" s="26" t="str">
        <x:v>Pumpkin Bucket 18cm；Cauldron Candy Pot 19cm；Tablecloth 2.6m x 1.3m Asst</x:v>
      </x:c>
      <x:c r="I200" s="26" t="str">
        <x:v>Halloween Catalogue 2026</x:v>
      </x:c>
      <x:c r="J200" s="26" t="str">
        <x:v>SKU精确匹配</x:v>
      </x:c>
    </x:row>
    <x:row r="201">
      <x:c r="A201" s="24" t="str">
        <x:v>HB ORION</x:v>
      </x:c>
      <x:c r="B201" s="24" t="str">
        <x:v>4</x:v>
      </x:c>
      <x:c r="C201" s="24" t="str">
        <x:v>万圣节</x:v>
      </x:c>
      <x:c r="D201" s="24" t="str">
        <x:v>装扮与配饰</x:v>
      </x:c>
      <x:c r="E201" s="25" t="n">
        <x:v>10</x:v>
      </x:c>
      <x:c r="F201" s="25" t="n">
        <x:v>10</x:v>
      </x:c>
      <x:c r="G201" s="25" t="n">
        <x:v>258</x:v>
      </x:c>
      <x:c r="H201" s="26" t="str">
        <x:v>Bloody Silver Weapon Earrings Asst；Halloween Bow Headband Asst；Sweet Bug Set Kids</x:v>
      </x:c>
      <x:c r="I201" s="26" t="str">
        <x:v>Halloween Catalogue 2026</x:v>
      </x:c>
      <x:c r="J201" s="26" t="str">
        <x:v>SKU精确匹配</x:v>
      </x:c>
    </x:row>
    <x:row r="202">
      <x:c r="A202" s="24" t="str">
        <x:v>HB ORION</x:v>
      </x:c>
      <x:c r="B202" s="24" t="str">
        <x:v>4</x:v>
      </x:c>
      <x:c r="C202" s="24" t="str">
        <x:v>万圣节</x:v>
      </x:c>
      <x:c r="D202" s="24" t="str">
        <x:v>通用服装</x:v>
      </x:c>
      <x:c r="E202" s="25" t="n">
        <x:v>5</x:v>
      </x:c>
      <x:c r="F202" s="25" t="n">
        <x:v>6</x:v>
      </x:c>
      <x:c r="G202" s="25" t="n">
        <x:v>36</x:v>
      </x:c>
      <x:c r="H202" s="26" t="str">
        <x:v>Costume Pumpkin Toddler；Costume Skull Shaman Master Kids；Costume Captain's Daughter Pirate Adults</x:v>
      </x:c>
      <x:c r="I202" s="26" t="str">
        <x:v>Halloween Catalogue 2026</x:v>
      </x:c>
      <x:c r="J202" s="26" t="str">
        <x:v>SKU精确匹配</x:v>
      </x:c>
    </x:row>
    <x:row r="203">
      <x:c r="A203" s="24" t="str">
        <x:v>HB ORION</x:v>
      </x:c>
      <x:c r="B203" s="24" t="str">
        <x:v>4</x:v>
      </x:c>
      <x:c r="C203" s="24" t="str">
        <x:v>万圣节</x:v>
      </x:c>
      <x:c r="D203" s="24" t="str">
        <x:v>武器道具</x:v>
      </x:c>
      <x:c r="E203" s="25" t="n">
        <x:v>3</x:v>
      </x:c>
      <x:c r="F203" s="25" t="n">
        <x:v>5</x:v>
      </x:c>
      <x:c r="G203" s="25" t="n">
        <x:v>120</x:v>
      </x:c>
      <x:c r="H203" s="26" t="str">
        <x:v>Reaper Scythe 81cm；Bloody Machete 67cm；Long Trident 93cm</x:v>
      </x:c>
      <x:c r="I203" s="26" t="str">
        <x:v>Halloween Catalogue 2026</x:v>
      </x:c>
      <x:c r="J203" s="26" t="str">
        <x:v>SKU精确匹配</x:v>
      </x:c>
    </x:row>
    <x:row r="204">
      <x:c r="A204" s="24" t="str">
        <x:v>HB ORION</x:v>
      </x:c>
      <x:c r="B204" s="24" t="str">
        <x:v>4</x:v>
      </x:c>
      <x:c r="C204" s="24" t="str">
        <x:v>万圣节</x:v>
      </x:c>
      <x:c r="D204" s="24" t="str">
        <x:v>邪恶恐怖</x:v>
      </x:c>
      <x:c r="E204" s="25" t="n">
        <x:v>2</x:v>
      </x:c>
      <x:c r="F204" s="25" t="n">
        <x:v>5</x:v>
      </x:c>
      <x:c r="G204" s="25" t="n">
        <x:v>84</x:v>
      </x:c>
      <x:c r="H204" s="26" t="str">
        <x:v>Demon Mask；Costume Demon Adults</x:v>
      </x:c>
      <x:c r="I204" s="26" t="str">
        <x:v>Halloween Catalogue 2026</x:v>
      </x:c>
      <x:c r="J204" s="26" t="str">
        <x:v>SKU精确匹配</x:v>
      </x:c>
    </x:row>
    <x:row r="205">
      <x:c r="A205" s="24" t="str">
        <x:v>HB ORION</x:v>
      </x:c>
      <x:c r="B205" s="24" t="str">
        <x:v>4</x:v>
      </x:c>
      <x:c r="C205" s="24" t="str">
        <x:v>万圣节</x:v>
      </x:c>
      <x:c r="D205" s="24" t="str">
        <x:v>吸血鬼</x:v>
      </x:c>
      <x:c r="E205" s="25" t="n">
        <x:v>3</x:v>
      </x:c>
      <x:c r="F205" s="25" t="n">
        <x:v>5</x:v>
      </x:c>
      <x:c r="G205" s="25" t="n">
        <x:v>54</x:v>
      </x:c>
      <x:c r="H205" s="26" t="str">
        <x:v>Vampire Cape 1.4m；Vampire Cape Kids 75cm；Costume Little Vampiress Kids</x:v>
      </x:c>
      <x:c r="I205" s="26" t="str">
        <x:v>Halloween Catalogue 2026</x:v>
      </x:c>
      <x:c r="J205" s="26" t="str">
        <x:v>SKU精确匹配</x:v>
      </x:c>
    </x:row>
    <x:row r="206">
      <x:c r="A206" s="24" t="str">
        <x:v>HB ORION</x:v>
      </x:c>
      <x:c r="B206" s="24" t="str">
        <x:v>4</x:v>
      </x:c>
      <x:c r="C206" s="24" t="str">
        <x:v>万圣节</x:v>
      </x:c>
      <x:c r="D206" s="24" t="str">
        <x:v>恶魔</x:v>
      </x:c>
      <x:c r="E206" s="25" t="n">
        <x:v>4</x:v>
      </x:c>
      <x:c r="F206" s="25" t="n">
        <x:v>5</x:v>
      </x:c>
      <x:c r="G206" s="25" t="n">
        <x:v>24</x:v>
      </x:c>
      <x:c r="H206" s="26" t="str">
        <x:v>Costume Devil Toddler；Costume Flameborn Devil Kids；Costume Hellfire Devil Adults</x:v>
      </x:c>
      <x:c r="I206" s="26" t="str">
        <x:v>Halloween Catalogue 2026</x:v>
      </x:c>
      <x:c r="J206" s="26" t="str">
        <x:v>SKU精确匹配</x:v>
      </x:c>
    </x:row>
    <x:row r="207">
      <x:c r="A207" s="24" t="str">
        <x:v>HB ORION</x:v>
      </x:c>
      <x:c r="B207" s="24" t="str">
        <x:v>4</x:v>
      </x:c>
      <x:c r="C207" s="24" t="str">
        <x:v>万圣节</x:v>
      </x:c>
      <x:c r="D207" s="24" t="str">
        <x:v>骷髅与庭院装饰</x:v>
      </x:c>
      <x:c r="E207" s="25" t="n">
        <x:v>3</x:v>
      </x:c>
      <x:c r="F207" s="25" t="n">
        <x:v>4</x:v>
      </x:c>
      <x:c r="G207" s="25" t="n">
        <x:v>104</x:v>
      </x:c>
      <x:c r="H207" s="26" t="str">
        <x:v>Hanging Neon Skeleton 33cm Asst；Skull 3pk；Vulture Skeleton 32cm</x:v>
      </x:c>
      <x:c r="I207" s="26" t="str">
        <x:v>Halloween Catalogue 2026</x:v>
      </x:c>
      <x:c r="J207" s="26" t="str">
        <x:v>SKU精确匹配</x:v>
      </x:c>
    </x:row>
    <x:row r="208">
      <x:c r="A208" s="24" t="str">
        <x:v>HB ORION</x:v>
      </x:c>
      <x:c r="B208" s="24" t="str">
        <x:v>4</x:v>
      </x:c>
      <x:c r="C208" s="24" t="str">
        <x:v>万圣节</x:v>
      </x:c>
      <x:c r="D208" s="24" t="str">
        <x:v>面具</x:v>
      </x:c>
      <x:c r="E208" s="25" t="n">
        <x:v>2</x:v>
      </x:c>
      <x:c r="F208" s="25" t="n">
        <x:v>4</x:v>
      </x:c>
      <x:c r="G208" s="25" t="n">
        <x:v>96</x:v>
      </x:c>
      <x:c r="H208" s="26" t="str">
        <x:v>Stitched Mimer Light Up Mask Asst；Stitched Light Up White Mask Asst</x:v>
      </x:c>
      <x:c r="I208" s="26" t="str">
        <x:v>Halloween Catalogue 2026</x:v>
      </x:c>
      <x:c r="J208" s="26" t="str">
        <x:v>SKU精确匹配</x:v>
      </x:c>
    </x:row>
    <x:row r="209">
      <x:c r="A209" s="24" t="str">
        <x:v>HB ORION</x:v>
      </x:c>
      <x:c r="B209" s="24" t="str">
        <x:v>4</x:v>
      </x:c>
      <x:c r="C209" s="24" t="str">
        <x:v>万圣节</x:v>
      </x:c>
      <x:c r="D209" s="24" t="str">
        <x:v>儿童趣味</x:v>
      </x:c>
      <x:c r="E209" s="25" t="n">
        <x:v>3</x:v>
      </x:c>
      <x:c r="F209" s="25" t="n">
        <x:v>4</x:v>
      </x:c>
      <x:c r="G209" s="25" t="n">
        <x:v>96</x:v>
      </x:c>
      <x:c r="H209" s="26" t="str">
        <x:v>Spook-N-Squeeze Minis Asst；Boo Bounce Bendy Pens Asst；Boo Bash Party Game Asst</x:v>
      </x:c>
      <x:c r="I209" s="26" t="str">
        <x:v>Halloween Catalogue 2026</x:v>
      </x:c>
      <x:c r="J209" s="26" t="str">
        <x:v>SKU精确匹配</x:v>
      </x:c>
    </x:row>
    <x:row r="210">
      <x:c r="A210" s="24" t="str">
        <x:v>HB ORION</x:v>
      </x:c>
      <x:c r="B210" s="24" t="str">
        <x:v>4</x:v>
      </x:c>
      <x:c r="C210" s="24" t="str">
        <x:v>万圣节</x:v>
      </x:c>
      <x:c r="D210" s="24" t="str">
        <x:v>骷髅与骨头</x:v>
      </x:c>
      <x:c r="E210" s="25" t="n">
        <x:v>3</x:v>
      </x:c>
      <x:c r="F210" s="25" t="n">
        <x:v>3</x:v>
      </x:c>
      <x:c r="G210" s="25" t="n">
        <x:v>84</x:v>
      </x:c>
      <x:c r="H210" s="26" t="str">
        <x:v>Skeleton Bracelet Asst；Skeleton Necklace 35cm；Skeleton G.I.D Suspenders</x:v>
      </x:c>
      <x:c r="I210" s="26" t="str">
        <x:v>Halloween Catalogue 2026</x:v>
      </x:c>
      <x:c r="J210" s="26" t="str">
        <x:v>SKU精确匹配</x:v>
      </x:c>
    </x:row>
    <x:row r="211">
      <x:c r="A211" s="24" t="str">
        <x:v>HB ORION</x:v>
      </x:c>
      <x:c r="B211" s="24" t="str">
        <x:v>4</x:v>
      </x:c>
      <x:c r="C211" s="24" t="str">
        <x:v>万圣节</x:v>
      </x:c>
      <x:c r="D211" s="24" t="str">
        <x:v>发光与投影</x:v>
      </x:c>
      <x:c r="E211" s="25" t="n">
        <x:v>1</x:v>
      </x:c>
      <x:c r="F211" s="25" t="n">
        <x:v>3</x:v>
      </x:c>
      <x:c r="G211" s="25" t="n">
        <x:v>72</x:v>
      </x:c>
      <x:c r="H211" s="26" t="str">
        <x:v>Lantern Light 20cm Asst</x:v>
      </x:c>
      <x:c r="I211" s="26" t="str">
        <x:v>Halloween Catalogue 2026</x:v>
      </x:c>
      <x:c r="J211" s="26" t="str">
        <x:v>SKU精确匹配</x:v>
      </x:c>
    </x:row>
    <x:row r="212">
      <x:c r="A212" s="24" t="str">
        <x:v>HB ORION</x:v>
      </x:c>
      <x:c r="B212" s="24" t="str">
        <x:v>4</x:v>
      </x:c>
      <x:c r="C212" s="24" t="str">
        <x:v>万圣节</x:v>
      </x:c>
      <x:c r="D212" s="24" t="str">
        <x:v>粉色恐怖</x:v>
      </x:c>
      <x:c r="E212" s="25" t="n">
        <x:v>1</x:v>
      </x:c>
      <x:c r="F212" s="25" t="n">
        <x:v>2</x:v>
      </x:c>
      <x:c r="G212" s="25" t="n">
        <x:v>36</x:v>
      </x:c>
      <x:c r="H212" s="26" t="str">
        <x:v>Bunny Mask Asst</x:v>
      </x:c>
      <x:c r="I212" s="26" t="str">
        <x:v>Halloween Catalogue 2026</x:v>
      </x:c>
      <x:c r="J212" s="26" t="str">
        <x:v>SKU精确匹配</x:v>
      </x:c>
    </x:row>
    <x:row r="213">
      <x:c r="A213" s="24" t="str">
        <x:v>HB ORION</x:v>
      </x:c>
      <x:c r="B213" s="24" t="str">
        <x:v>4</x:v>
      </x:c>
      <x:c r="C213" s="24" t="str">
        <x:v>万圣节</x:v>
      </x:c>
      <x:c r="D213" s="24" t="str">
        <x:v>悬挂/站立装饰</x:v>
      </x:c>
      <x:c r="E213" s="25" t="n">
        <x:v>2</x:v>
      </x:c>
      <x:c r="F213" s="25" t="n">
        <x:v>2</x:v>
      </x:c>
      <x:c r="G213" s="25" t="n">
        <x:v>24</x:v>
      </x:c>
      <x:c r="H213" s="26" t="str">
        <x:v>Hanging Skeleton In Lace 28cm Asst；Hanging Skeleton Reaper 1.1m Asst</x:v>
      </x:c>
      <x:c r="I213" s="26" t="str">
        <x:v>Halloween Catalogue 2026</x:v>
      </x:c>
      <x:c r="J213" s="26" t="str">
        <x:v>SKU精确匹配</x:v>
      </x:c>
    </x:row>
    <x:row r="214">
      <x:c r="A214" s="24" t="str">
        <x:v>HB ORION</x:v>
      </x:c>
      <x:c r="B214" s="24" t="str">
        <x:v>4</x:v>
      </x:c>
      <x:c r="C214" s="24" t="str">
        <x:v>万圣节</x:v>
      </x:c>
      <x:c r="D214" s="24" t="str">
        <x:v>机械动画装饰</x:v>
      </x:c>
      <x:c r="E214" s="25" t="n">
        <x:v>2</x:v>
      </x:c>
      <x:c r="F214" s="25" t="n">
        <x:v>2</x:v>
      </x:c>
      <x:c r="G214" s="25" t="n">
        <x:v>15</x:v>
      </x:c>
      <x:c r="H214" s="26" t="str">
        <x:v>Animated Halloween Hanging DÃ©cor Asst；Animated Hanging Mummy 1.7m</x:v>
      </x:c>
      <x:c r="I214" s="26" t="str">
        <x:v>Halloween Catalogue 2026</x:v>
      </x:c>
      <x:c r="J214" s="26" t="str">
        <x:v>SKU精确匹配</x:v>
      </x:c>
    </x:row>
    <x:row r="215">
      <x:c r="A215" s="24" t="str">
        <x:v>HB ORION</x:v>
      </x:c>
      <x:c r="B215" s="24" t="str">
        <x:v>4</x:v>
      </x:c>
      <x:c r="C215" s="24" t="str">
        <x:v>万圣节</x:v>
      </x:c>
      <x:c r="D215" s="24" t="str">
        <x:v>特效与化妆</x:v>
      </x:c>
      <x:c r="E215" s="25" t="n">
        <x:v>1</x:v>
      </x:c>
      <x:c r="F215" s="25" t="n">
        <x:v>1</x:v>
      </x:c>
      <x:c r="G215" s="25" t="n">
        <x:v>36</x:v>
      </x:c>
      <x:c r="H215" s="26" t="str">
        <x:v>Body Part Nail Sticker Set</x:v>
      </x:c>
      <x:c r="I215" s="26" t="str">
        <x:v>Halloween Catalogue 2026</x:v>
      </x:c>
      <x:c r="J215" s="26" t="str">
        <x:v>SKU精确匹配</x:v>
      </x:c>
    </x:row>
    <x:row r="216">
      <x:c r="A216" s="24" t="str">
        <x:v>HB ORION</x:v>
      </x:c>
      <x:c r="B216" s="24" t="str">
        <x:v>4</x:v>
      </x:c>
      <x:c r="C216" s="24" t="str">
        <x:v>万圣节</x:v>
      </x:c>
      <x:c r="D216" s="24" t="str">
        <x:v>女巫</x:v>
      </x:c>
      <x:c r="E216" s="25" t="n">
        <x:v>1</x:v>
      </x:c>
      <x:c r="F216" s="25" t="n">
        <x:v>1</x:v>
      </x:c>
      <x:c r="G216" s="25" t="n">
        <x:v>24</x:v>
      </x:c>
      <x:c r="H216" s="26" t="str">
        <x:v>Mystic Coven Hat Asst</x:v>
      </x:c>
      <x:c r="I216" s="26" t="str">
        <x:v>Halloween Catalogue 2026</x:v>
      </x:c>
      <x:c r="J216" s="26" t="str">
        <x:v>SKU精确匹配</x:v>
      </x:c>
    </x:row>
    <x:row r="217">
      <x:c r="A217" s="24" t="str">
        <x:v>HB ORION</x:v>
      </x:c>
      <x:c r="B217" s="24" t="str">
        <x:v>4</x:v>
      </x:c>
      <x:c r="C217" s="24" t="str">
        <x:v>万圣节</x:v>
      </x:c>
      <x:c r="D217" s="24" t="str">
        <x:v>疯人院</x:v>
      </x:c>
      <x:c r="E217" s="25" t="n">
        <x:v>1</x:v>
      </x:c>
      <x:c r="F217" s="25" t="n">
        <x:v>1</x:v>
      </x:c>
      <x:c r="G217" s="25" t="n">
        <x:v>24</x:v>
      </x:c>
      <x:c r="H217" s="26" t="str">
        <x:v>Eyeball Necklace</x:v>
      </x:c>
      <x:c r="I217" s="26" t="str">
        <x:v>Halloween Catalogue 2026</x:v>
      </x:c>
      <x:c r="J217" s="26" t="str">
        <x:v>SKU精确匹配</x:v>
      </x:c>
    </x:row>
    <x:row r="218">
      <x:c r="A218" s="24" t="str">
        <x:v>HB ORION</x:v>
      </x:c>
      <x:c r="B218" s="24" t="str">
        <x:v>4</x:v>
      </x:c>
      <x:c r="C218" s="24" t="str">
        <x:v>万圣节</x:v>
      </x:c>
      <x:c r="D218" s="24" t="str">
        <x:v>闪耀夜色</x:v>
      </x:c>
      <x:c r="E218" s="25" t="n">
        <x:v>1</x:v>
      </x:c>
      <x:c r="F218" s="25" t="n">
        <x:v>1</x:v>
      </x:c>
      <x:c r="G218" s="25" t="n">
        <x:v>12</x:v>
      </x:c>
      <x:c r="H218" s="26" t="str">
        <x:v>Glitter Scream Mask</x:v>
      </x:c>
      <x:c r="I218" s="26" t="str">
        <x:v>Halloween Catalogue 2026</x:v>
      </x:c>
      <x:c r="J218" s="26" t="str">
        <x:v>SKU精确匹配</x:v>
      </x:c>
    </x:row>
    <x:row r="219">
      <x:c r="A219" s="24" t="str">
        <x:v>HB ORION</x:v>
      </x:c>
      <x:c r="B219" s="24" t="str">
        <x:v>14</x:v>
      </x:c>
      <x:c r="C219" s="24" t="str">
        <x:v>圣诞普通商品</x:v>
      </x:c>
      <x:c r="D219" s="24" t="str">
        <x:v>铃铛</x:v>
      </x:c>
      <x:c r="E219" s="25" t="n">
        <x:v>5</x:v>
      </x:c>
      <x:c r="F219" s="25" t="n">
        <x:v>10</x:v>
      </x:c>
      <x:c r="G219" s="25" t="n">
        <x:v>160</x:v>
      </x:c>
      <x:c r="H219" s="26" t="str">
        <x:v>Mini Nutbells Door Hanger 20cm Asst；Nutbells Hanger with Bow 30cm Asst；Twin Bells Hanger Metallic Decos Asst</x:v>
      </x:c>
      <x:c r="I219" s="26" t="str">
        <x:v>Christmas General 2026</x:v>
      </x:c>
      <x:c r="J219" s="26" t="str">
        <x:v>SKU精确匹配</x:v>
      </x:c>
    </x:row>
    <x:row r="220">
      <x:c r="A220" s="24" t="str">
        <x:v>HB ORION</x:v>
      </x:c>
      <x:c r="B220" s="24" t="str">
        <x:v>14</x:v>
      </x:c>
      <x:c r="C220" s="24" t="str">
        <x:v>圣诞普通商品</x:v>
      </x:c>
      <x:c r="D220" s="24" t="str">
        <x:v>花材与枝叶</x:v>
      </x:c>
      <x:c r="E220" s="25" t="n">
        <x:v>6</x:v>
      </x:c>
      <x:c r="F220" s="25" t="n">
        <x:v>8</x:v>
      </x:c>
      <x:c r="G220" s="25" t="n">
        <x:v>216</x:v>
      </x:c>
      <x:c r="H220" s="26" t="str">
        <x:v>Holly &amp; Berries Garland 2.7m；Velvet Sequins Poinsettia Asst；Glitter Magnolia Clip Asst</x:v>
      </x:c>
      <x:c r="I220" s="26" t="str">
        <x:v>Christmas General 2026</x:v>
      </x:c>
      <x:c r="J220" s="26" t="str">
        <x:v>SKU精确匹配</x:v>
      </x:c>
    </x:row>
    <x:row r="221">
      <x:c r="A221" s="24" t="str">
        <x:v>HB ORION</x:v>
      </x:c>
      <x:c r="B221" s="24" t="str">
        <x:v>14</x:v>
      </x:c>
      <x:c r="C221" s="24" t="str">
        <x:v>圣诞普通商品</x:v>
      </x:c>
      <x:c r="D221" s="24" t="str">
        <x:v>桌面装饰</x:v>
      </x:c>
      <x:c r="E221" s="25" t="n">
        <x:v>4</x:v>
      </x:c>
      <x:c r="F221" s="25" t="n">
        <x:v>6</x:v>
      </x:c>
      <x:c r="G221" s="25" t="n">
        <x:v>108</x:v>
      </x:c>
      <x:c r="H221" s="26" t="str">
        <x:v>LED Micro Wire Flicker Pillar Candle B/OP；LED Paper Board Farmhouse Asst；Santa Waterball 45mm Asst</x:v>
      </x:c>
      <x:c r="I221" s="26" t="str">
        <x:v>Christmas General 2026</x:v>
      </x:c>
      <x:c r="J221" s="26" t="str">
        <x:v>SKU精确匹配</x:v>
      </x:c>
    </x:row>
    <x:row r="222">
      <x:c r="A222" s="24" t="str">
        <x:v>HB ORION</x:v>
      </x:c>
      <x:c r="B222" s="24" t="str">
        <x:v>14</x:v>
      </x:c>
      <x:c r="C222" s="24" t="str">
        <x:v>圣诞普通商品</x:v>
      </x:c>
      <x:c r="D222" s="24" t="str">
        <x:v>圣诞树挂饰</x:v>
      </x:c>
      <x:c r="E222" s="25" t="n">
        <x:v>3</x:v>
      </x:c>
      <x:c r="F222" s="25" t="n">
        <x:v>5</x:v>
      </x:c>
      <x:c r="G222" s="25" t="n">
        <x:v>156</x:v>
      </x:c>
      <x:c r="H222" s="26" t="str">
        <x:v>Hanging Glitter Deco 2pk Asst；Hanging Gold Leaf Velvet Bow Asst；Hanging Teddy Bear Deco Asst</x:v>
      </x:c>
      <x:c r="I222" s="26" t="str">
        <x:v>Christmas General 2026</x:v>
      </x:c>
      <x:c r="J222" s="26" t="str">
        <x:v>SKU精确匹配</x:v>
      </x:c>
    </x:row>
    <x:row r="223">
      <x:c r="A223" s="24" t="str">
        <x:v>HB ORION</x:v>
      </x:c>
      <x:c r="B223" s="24" t="str">
        <x:v>14</x:v>
      </x:c>
      <x:c r="C223" s="24" t="str">
        <x:v>圣诞普通商品</x:v>
      </x:c>
      <x:c r="D223" s="24" t="str">
        <x:v>奢华传统主题</x:v>
      </x:c>
      <x:c r="E223" s="25" t="n">
        <x:v>3</x:v>
      </x:c>
      <x:c r="F223" s="25" t="n">
        <x:v>4</x:v>
      </x:c>
      <x:c r="G223" s="25" t="n">
        <x:v>96</x:v>
      </x:c>
      <x:c r="H223" s="26" t="str">
        <x:v>Bauble Glitter Lattice 10cm Asst；Twin Bells Hanger Flocked Asst；Regal Glitter Spiral Pick 130cm Asst</x:v>
      </x:c>
      <x:c r="I223" s="26" t="str">
        <x:v>Christmas General 2026</x:v>
      </x:c>
      <x:c r="J223" s="26" t="str">
        <x:v>SKU精确匹配</x:v>
      </x:c>
    </x:row>
    <x:row r="224">
      <x:c r="A224" s="24" t="str">
        <x:v>HB ORION</x:v>
      </x:c>
      <x:c r="B224" s="24" t="str">
        <x:v>14</x:v>
      </x:c>
      <x:c r="C224" s="24" t="str">
        <x:v>圣诞普通商品</x:v>
      </x:c>
      <x:c r="D224" s="24" t="str">
        <x:v>墙面装饰</x:v>
      </x:c>
      <x:c r="E224" s="25" t="n">
        <x:v>3</x:v>
      </x:c>
      <x:c r="F224" s="25" t="n">
        <x:v>4</x:v>
      </x:c>
      <x:c r="G224" s="25" t="n">
        <x:v>72</x:v>
      </x:c>
      <x:c r="H224" s="26" t="str">
        <x:v>Christmas Giant Selfie Frame；Santa Eva Plaque；Merry Christmas Paper Banner 3m</x:v>
      </x:c>
      <x:c r="I224" s="26" t="str">
        <x:v>Christmas General 2026</x:v>
      </x:c>
      <x:c r="J224" s="26" t="str">
        <x:v>SKU精确匹配</x:v>
      </x:c>
    </x:row>
    <x:row r="225">
      <x:c r="A225" s="24" t="str">
        <x:v>HB ORION</x:v>
      </x:c>
      <x:c r="B225" s="24" t="str">
        <x:v>14</x:v>
      </x:c>
      <x:c r="C225" s="24" t="str">
        <x:v>圣诞普通商品</x:v>
      </x:c>
      <x:c r="D225" s="24" t="str">
        <x:v>纺织品</x:v>
      </x:c>
      <x:c r="E225" s="25" t="n">
        <x:v>2</x:v>
      </x:c>
      <x:c r="F225" s="25" t="n">
        <x:v>3</x:v>
      </x:c>
      <x:c r="G225" s="25" t="n">
        <x:v>120</x:v>
      </x:c>
      <x:c r="H225" s="26" t="str">
        <x:v>Table Runner Printed 183cm Asst；Table Cloth Damask 150x225cm Asst</x:v>
      </x:c>
      <x:c r="I225" s="26" t="str">
        <x:v>Christmas General 2026</x:v>
      </x:c>
      <x:c r="J225" s="26" t="str">
        <x:v>SKU精确匹配</x:v>
      </x:c>
    </x:row>
    <x:row r="226">
      <x:c r="A226" s="24" t="str">
        <x:v>HB ORION</x:v>
      </x:c>
      <x:c r="B226" s="24" t="str">
        <x:v>14</x:v>
      </x:c>
      <x:c r="C226" s="24" t="str">
        <x:v>圣诞普通商品</x:v>
      </x:c>
      <x:c r="D226" s="24" t="str">
        <x:v>厨房用品</x:v>
      </x:c>
      <x:c r="E226" s="25" t="n">
        <x:v>3</x:v>
      </x:c>
      <x:c r="F226" s="25" t="n">
        <x:v>3</x:v>
      </x:c>
      <x:c r="G226" s="25" t="n">
        <x:v>72</x:v>
      </x:c>
      <x:c r="H226" s="26" t="str">
        <x:v>Cotton Tea Towel Asst；Cotton Waffle Tea Towel 2pk；Apron Christmas Characters Asst</x:v>
      </x:c>
      <x:c r="I226" s="26" t="str">
        <x:v>Christmas General 2026</x:v>
      </x:c>
      <x:c r="J226" s="26" t="str">
        <x:v>SKU精确匹配</x:v>
      </x:c>
    </x:row>
    <x:row r="227">
      <x:c r="A227" s="24" t="str">
        <x:v>HB ORION</x:v>
      </x:c>
      <x:c r="B227" s="24" t="str">
        <x:v>14</x:v>
      </x:c>
      <x:c r="C227" s="24" t="str">
        <x:v>圣诞普通商品</x:v>
      </x:c>
      <x:c r="D227" s="24" t="str">
        <x:v>林地丝绒主题</x:v>
      </x:c>
      <x:c r="E227" s="25" t="n">
        <x:v>2</x:v>
      </x:c>
      <x:c r="F227" s="25" t="n">
        <x:v>2</x:v>
      </x:c>
      <x:c r="G227" s="25" t="n">
        <x:v>60</x:v>
      </x:c>
      <x:c r="H227" s="26" t="str">
        <x:v>Velvet Ribbon Bow Clip 4pk Asst；Flocked Multi Berry Pick 60cm Asst</x:v>
      </x:c>
      <x:c r="I227" s="26" t="str">
        <x:v>Christmas General 2026</x:v>
      </x:c>
      <x:c r="J227" s="26" t="str">
        <x:v>SKU精确匹配</x:v>
      </x:c>
    </x:row>
    <x:row r="228">
      <x:c r="A228" s="24" t="str">
        <x:v>HB ORION</x:v>
      </x:c>
      <x:c r="B228" s="24" t="str">
        <x:v>14</x:v>
      </x:c>
      <x:c r="C228" s="24" t="str">
        <x:v>圣诞普通商品</x:v>
      </x:c>
      <x:c r="D228" s="24" t="str">
        <x:v>节日趣味商品</x:v>
      </x:c>
      <x:c r="E228" s="25" t="n">
        <x:v>2</x:v>
      </x:c>
      <x:c r="F228" s="25" t="n">
        <x:v>2</x:v>
      </x:c>
      <x:c r="G228" s="25" t="n">
        <x:v>36</x:v>
      </x:c>
      <x:c r="H228" s="26" t="str">
        <x:v>Christmas Plush Pal SRT Asst；Soft Plush Toy 23cm Asst</x:v>
      </x:c>
      <x:c r="I228" s="26" t="str">
        <x:v>Christmas General 2026</x:v>
      </x:c>
      <x:c r="J228" s="26" t="str">
        <x:v>SKU精确匹配</x:v>
      </x:c>
    </x:row>
    <x:row r="229">
      <x:c r="A229" s="24" t="str">
        <x:v>HB ORION</x:v>
      </x:c>
      <x:c r="B229" s="24" t="str">
        <x:v>14</x:v>
      </x:c>
      <x:c r="C229" s="24" t="str">
        <x:v>圣诞普通商品</x:v>
      </x:c>
      <x:c r="D229" s="24" t="str">
        <x:v>午夜蓝主题</x:v>
      </x:c>
      <x:c r="E229" s="25" t="n">
        <x:v>2</x:v>
      </x:c>
      <x:c r="F229" s="25" t="n">
        <x:v>2</x:v>
      </x:c>
      <x:c r="G229" s="25" t="n">
        <x:v>30</x:v>
      </x:c>
      <x:c r="H229" s="26" t="str">
        <x:v>Honeycomb Lantern 13cm Asst；Santa Figurine Royal Blue 60cm</x:v>
      </x:c>
      <x:c r="I229" s="26" t="str">
        <x:v>Christmas General 2026</x:v>
      </x:c>
      <x:c r="J229" s="26" t="str">
        <x:v>SKU精确匹配</x:v>
      </x:c>
    </x:row>
    <x:row r="230">
      <x:c r="A230" s="24" t="str">
        <x:v>HB ORION</x:v>
      </x:c>
      <x:c r="B230" s="24" t="str">
        <x:v>14</x:v>
      </x:c>
      <x:c r="C230" s="24" t="str">
        <x:v>圣诞普通商品</x:v>
      </x:c>
      <x:c r="D230" s="24" t="str">
        <x:v>糖果手杖主题</x:v>
      </x:c>
      <x:c r="E230" s="25" t="n">
        <x:v>2</x:v>
      </x:c>
      <x:c r="F230" s="25" t="n">
        <x:v>2</x:v>
      </x:c>
      <x:c r="G230" s="25" t="n">
        <x:v>28</x:v>
      </x:c>
      <x:c r="H230" s="26" t="str">
        <x:v>Sweet Candy House Asst；Candycane Gingerbread House Asst</x:v>
      </x:c>
      <x:c r="I230" s="26" t="str">
        <x:v>Christmas General 2026</x:v>
      </x:c>
      <x:c r="J230" s="26" t="str">
        <x:v>SKU精确匹配</x:v>
      </x:c>
    </x:row>
    <x:row r="231">
      <x:c r="A231" s="24" t="str">
        <x:v>HB ORION</x:v>
      </x:c>
      <x:c r="B231" s="24" t="str">
        <x:v>14</x:v>
      </x:c>
      <x:c r="C231" s="24" t="str">
        <x:v>圣诞普通商品</x:v>
      </x:c>
      <x:c r="D231" s="24" t="str">
        <x:v>粉彩花园主题</x:v>
      </x:c>
      <x:c r="E231" s="25" t="n">
        <x:v>1</x:v>
      </x:c>
      <x:c r="F231" s="25" t="n">
        <x:v>1</x:v>
      </x:c>
      <x:c r="G231" s="25" t="n">
        <x:v>36</x:v>
      </x:c>
      <x:c r="H231" s="26" t="str">
        <x:v>Bauble Shiny Diamond Pastel 70mm Asst</x:v>
      </x:c>
      <x:c r="I231" s="26" t="str">
        <x:v>Christmas General 2026</x:v>
      </x:c>
      <x:c r="J231" s="26" t="str">
        <x:v>SKU精确匹配</x:v>
      </x:c>
    </x:row>
    <x:row r="232">
      <x:c r="A232" s="24" t="str">
        <x:v>HB ORION</x:v>
      </x:c>
      <x:c r="B232" s="24" t="str">
        <x:v>14</x:v>
      </x:c>
      <x:c r="C232" s="24" t="str">
        <x:v>圣诞灯饰</x:v>
      </x:c>
      <x:c r="D232" s="24" t="str">
        <x:v>太阳能灯饰</x:v>
      </x:c>
      <x:c r="E232" s="25" t="n">
        <x:v>6</x:v>
      </x:c>
      <x:c r="F232" s="25" t="n">
        <x:v>11</x:v>
      </x:c>
      <x:c r="G232" s="25" t="n">
        <x:v>120</x:v>
      </x:c>
      <x:c r="H232" s="26" t="str">
        <x:v>Solar Mini Candy Cane Path Lghts 8pk；Solar LED Reindeer Path Lights 10pk Multi；Solar Icicle Lights 80pk Multi/White Asst</x:v>
      </x:c>
      <x:c r="I232" s="26" t="str">
        <x:v>Christmas Lighting 2026</x:v>
      </x:c>
      <x:c r="J232" s="26" t="str">
        <x:v>SKU精确匹配</x:v>
      </x:c>
    </x:row>
    <x:row r="233">
      <x:c r="A233" s="24" t="str">
        <x:v>HB ORION</x:v>
      </x:c>
      <x:c r="B233" s="24" t="str">
        <x:v>14</x:v>
      </x:c>
      <x:c r="C233" s="24" t="str">
        <x:v>圣诞灯饰</x:v>
      </x:c>
      <x:c r="D233" s="24" t="str">
        <x:v>创意灯饰</x:v>
      </x:c>
      <x:c r="E233" s="25" t="n">
        <x:v>3</x:v>
      </x:c>
      <x:c r="F233" s="25" t="n">
        <x:v>4</x:v>
      </x:c>
      <x:c r="G233" s="25" t="n">
        <x:v>30</x:v>
      </x:c>
      <x:c r="H233" s="26" t="str">
        <x:v>LED Rainfall Tubes 12pk Mixed Size Icy Blue；LED Dew Drop Star Curtain Multi Colour；Ladder Light Star Top w/Santa Warm/Multi Asst</x:v>
      </x:c>
      <x:c r="I233" s="26" t="str">
        <x:v>Christmas Lighting 2026</x:v>
      </x:c>
      <x:c r="J233" s="26" t="str">
        <x:v>SKU精确匹配</x:v>
      </x:c>
    </x:row>
    <x:row r="234">
      <x:c r="A234" s="24" t="str">
        <x:v>HB ORION</x:v>
      </x:c>
      <x:c r="B234" s="24" t="str">
        <x:v>14</x:v>
      </x:c>
      <x:c r="C234" s="24" t="str">
        <x:v>圣诞灯饰</x:v>
      </x:c>
      <x:c r="D234" s="24" t="str">
        <x:v>Infinity/Neon 灯饰</x:v>
      </x:c>
      <x:c r="E234" s="25" t="n">
        <x:v>2</x:v>
      </x:c>
      <x:c r="F234" s="25" t="n">
        <x:v>3</x:v>
      </x:c>
      <x:c r="G234" s="25" t="n">
        <x:v>24</x:v>
      </x:c>
      <x:c r="H234" s="26" t="str">
        <x:v>Infinity Light Ginger Man/House 42cm Asst；Infinity Light Reindeer 41cm</x:v>
      </x:c>
      <x:c r="I234" s="26" t="str">
        <x:v>Christmas Lighting 2026</x:v>
      </x:c>
      <x:c r="J234" s="26" t="str">
        <x:v>SKU精确匹配</x:v>
      </x:c>
    </x:row>
    <x:row r="235">
      <x:c r="A235" s="24" t="str">
        <x:v>HB ORION</x:v>
      </x:c>
      <x:c r="B235" s="24" t="str">
        <x:v>14</x:v>
      </x:c>
      <x:c r="C235" s="24" t="str">
        <x:v>圣诞灯饰</x:v>
      </x:c>
      <x:c r="D235" s="24" t="str">
        <x:v>电池灯饰</x:v>
      </x:c>
      <x:c r="E235" s="25" t="n">
        <x:v>1</x:v>
      </x:c>
      <x:c r="F235" s="25" t="n">
        <x:v>1</x:v>
      </x:c>
      <x:c r="G235" s="25" t="n">
        <x:v>72</x:v>
      </x:c>
      <x:c r="H235" s="26" t="str">
        <x:v>Deco Wire Lights 20pk Asst Floor Display</x:v>
      </x:c>
      <x:c r="I235" s="26" t="str">
        <x:v>Christmas Lighting 2026</x:v>
      </x:c>
      <x:c r="J235" s="26" t="str">
        <x:v>SKU精确匹配</x:v>
      </x:c>
    </x:row>
    <x:row r="236">
      <x:c r="A236" s="24" t="str">
        <x:v>HB ORION</x:v>
      </x:c>
      <x:c r="B236" s="24" t="str">
        <x:v>14</x:v>
      </x:c>
      <x:c r="C236" s="24" t="str">
        <x:v>圣诞灯饰</x:v>
      </x:c>
      <x:c r="D236" s="24" t="str">
        <x:v>庭院灯饰</x:v>
      </x:c>
      <x:c r="E236" s="25" t="n">
        <x:v>1</x:v>
      </x:c>
      <x:c r="F236" s="25" t="n">
        <x:v>1</x:v>
      </x:c>
      <x:c r="G236" s="25" t="n">
        <x:v>6</x:v>
      </x:c>
      <x:c r="H236" s="26" t="str">
        <x:v>Laser RGB Dots Motion R/Cntrl</x:v>
      </x:c>
      <x:c r="I236" s="26" t="str">
        <x:v>Christmas Lighting 2026</x:v>
      </x:c>
      <x:c r="J236" s="26" t="str">
        <x:v>SKU精确匹配</x:v>
      </x:c>
    </x:row>
    <x:row r="237">
      <x:c r="A237" s="24" t="str">
        <x:v>HB ORION</x:v>
      </x:c>
      <x:c r="B237" s="24" t="str">
        <x:v>14</x:v>
      </x:c>
      <x:c r="C237" s="24" t="str">
        <x:v>圣诞灯饰</x:v>
      </x:c>
      <x:c r="D237" s="24" t="str">
        <x:v>基础 LED 灯串</x:v>
      </x:c>
      <x:c r="E237" s="25" t="n">
        <x:v>1</x:v>
      </x:c>
      <x:c r="F237" s="25" t="n">
        <x:v>1</x:v>
      </x:c>
      <x:c r="G237" s="25" t="n">
        <x:v>6</x:v>
      </x:c>
      <x:c r="H237" s="26" t="str">
        <x:v>LED Fairy Lights 1000 w/Reel 5 Colour Funtime</x:v>
      </x:c>
      <x:c r="I237" s="26" t="str">
        <x:v>Christmas Lighting 2026</x:v>
      </x:c>
      <x:c r="J237" s="26" t="str">
        <x:v>SKU精确匹配</x:v>
      </x:c>
    </x:row>
    <x:row r="238">
      <x:c r="A238" s="24" t="str">
        <x:v>HB ORION</x:v>
      </x:c>
      <x:c r="B238" s="24" t="str">
        <x:v>14</x:v>
      </x:c>
      <x:c r="C238" s="24" t="str">
        <x:v>圣诞灯饰</x:v>
      </x:c>
      <x:c r="D238" s="24" t="str">
        <x:v>Ropelight 绳灯</x:v>
      </x:c>
      <x:c r="E238" s="25" t="n">
        <x:v>1</x:v>
      </x:c>
      <x:c r="F238" s="25" t="n">
        <x:v>1</x:v>
      </x:c>
      <x:c r="G238" s="25" t="n">
        <x:v>4</x:v>
      </x:c>
      <x:c r="H238" s="26" t="str">
        <x:v>Ropelight Tree PVC Lace Twinkle Asst</x:v>
      </x:c>
      <x:c r="I238" s="26" t="str">
        <x:v>Christmas Lighting 2026</x:v>
      </x:c>
      <x:c r="J238" s="26" t="str">
        <x:v>SKU精确匹配</x:v>
      </x:c>
    </x:row>
    <x:row r="239">
      <x:c r="A239" s="24" t="str">
        <x:v>HB ORION</x:v>
      </x:c>
      <x:c r="B239" s="24" t="str">
        <x:v>15</x:v>
      </x:c>
      <x:c r="C239" s="24" t="str">
        <x:v>圣诞普通商品</x:v>
      </x:c>
      <x:c r="D239" s="24" t="str">
        <x:v>花材与枝叶</x:v>
      </x:c>
      <x:c r="E239" s="25" t="n">
        <x:v>3</x:v>
      </x:c>
      <x:c r="F239" s="25" t="n">
        <x:v>5</x:v>
      </x:c>
      <x:c r="G239" s="25" t="n">
        <x:v>120</x:v>
      </x:c>
      <x:c r="H239" s="26" t="str">
        <x:v>Candycane Leaf Deco Pick 18cm Asst；Shimmer Poinsettia Clip Asst；Foliage Berry Hanger with Bow Asst</x:v>
      </x:c>
      <x:c r="I239" s="26" t="str">
        <x:v>Christmas General 2026</x:v>
      </x:c>
      <x:c r="J239" s="26" t="str">
        <x:v>SKU精确匹配</x:v>
      </x:c>
    </x:row>
    <x:row r="240">
      <x:c r="A240" s="24" t="str">
        <x:v>HB ORION</x:v>
      </x:c>
      <x:c r="B240" s="24" t="str">
        <x:v>15</x:v>
      </x:c>
      <x:c r="C240" s="24" t="str">
        <x:v>圣诞普通商品</x:v>
      </x:c>
      <x:c r="D240" s="24" t="str">
        <x:v>林地丝绒主题</x:v>
      </x:c>
      <x:c r="E240" s="25" t="n">
        <x:v>3</x:v>
      </x:c>
      <x:c r="F240" s="25" t="n">
        <x:v>3</x:v>
      </x:c>
      <x:c r="G240" s="25" t="n">
        <x:v>36</x:v>
      </x:c>
      <x:c r="H240" s="26" t="str">
        <x:v>Gilded Edge Magnolia Clip Asst；Santa Figurine Rich Burgundy 60cm；Santa Figurine Emerald Green 60cm</x:v>
      </x:c>
      <x:c r="I240" s="26" t="str">
        <x:v>Christmas General 2026</x:v>
      </x:c>
      <x:c r="J240" s="26" t="str">
        <x:v>SKU精确匹配</x:v>
      </x:c>
    </x:row>
    <x:row r="241">
      <x:c r="A241" s="24" t="str">
        <x:v>HB ORION</x:v>
      </x:c>
      <x:c r="B241" s="24" t="str">
        <x:v>15</x:v>
      </x:c>
      <x:c r="C241" s="24" t="str">
        <x:v>圣诞普通商品</x:v>
      </x:c>
      <x:c r="D241" s="24" t="str">
        <x:v>铃铛</x:v>
      </x:c>
      <x:c r="E241" s="25" t="n">
        <x:v>1</x:v>
      </x:c>
      <x:c r="F241" s="25" t="n">
        <x:v>3</x:v>
      </x:c>
      <x:c r="G241" s="25" t="n">
        <x:v>18</x:v>
      </x:c>
      <x:c r="H241" s="26" t="str">
        <x:v>Hammered Bell with Deco 25cm Asst</x:v>
      </x:c>
      <x:c r="I241" s="26" t="str">
        <x:v>Christmas General 2026</x:v>
      </x:c>
      <x:c r="J241" s="26" t="str">
        <x:v>SKU精确匹配</x:v>
      </x:c>
    </x:row>
    <x:row r="242">
      <x:c r="A242" s="24" t="str">
        <x:v>HB ORION</x:v>
      </x:c>
      <x:c r="B242" s="24" t="str">
        <x:v>15</x:v>
      </x:c>
      <x:c r="C242" s="24" t="str">
        <x:v>圣诞普通商品</x:v>
      </x:c>
      <x:c r="D242" s="24" t="str">
        <x:v>圣诞树挂饰</x:v>
      </x:c>
      <x:c r="E242" s="25" t="n">
        <x:v>2</x:v>
      </x:c>
      <x:c r="F242" s="25" t="n">
        <x:v>2</x:v>
      </x:c>
      <x:c r="G242" s="25" t="n">
        <x:v>60</x:v>
      </x:c>
      <x:c r="H242" s="26" t="str">
        <x:v>Hanging Christmas Dog 10cm Asst；Hanging Plush Teddy Bear Asst</x:v>
      </x:c>
      <x:c r="I242" s="26" t="str">
        <x:v>Christmas General 2026</x:v>
      </x:c>
      <x:c r="J242" s="26" t="str">
        <x:v>SKU精确匹配</x:v>
      </x:c>
    </x:row>
    <x:row r="243">
      <x:c r="A243" s="24" t="str">
        <x:v>HB ORION</x:v>
      </x:c>
      <x:c r="B243" s="24" t="str">
        <x:v>15</x:v>
      </x:c>
      <x:c r="C243" s="24" t="str">
        <x:v>圣诞普通商品</x:v>
      </x:c>
      <x:c r="D243" s="24" t="str">
        <x:v>墙面装饰</x:v>
      </x:c>
      <x:c r="E243" s="25" t="n">
        <x:v>2</x:v>
      </x:c>
      <x:c r="F243" s="25" t="n">
        <x:v>2</x:v>
      </x:c>
      <x:c r="G243" s="25" t="n">
        <x:v>48</x:v>
      </x:c>
      <x:c r="H243" s="26" t="str">
        <x:v>Hanging EVA Santa Plaque；Hanging EVA Character Plaque Asst</x:v>
      </x:c>
      <x:c r="I243" s="26" t="str">
        <x:v>Christmas General 2026</x:v>
      </x:c>
      <x:c r="J243" s="26" t="str">
        <x:v>SKU精确匹配</x:v>
      </x:c>
    </x:row>
    <x:row r="244">
      <x:c r="A244" s="24" t="str">
        <x:v>HB ORION</x:v>
      </x:c>
      <x:c r="B244" s="24" t="str">
        <x:v>15</x:v>
      </x:c>
      <x:c r="C244" s="24" t="str">
        <x:v>圣诞普通商品</x:v>
      </x:c>
      <x:c r="D244" s="24" t="str">
        <x:v>蝴蝶结</x:v>
      </x:c>
      <x:c r="E244" s="25" t="n">
        <x:v>2</x:v>
      </x:c>
      <x:c r="F244" s="25" t="n">
        <x:v>2</x:v>
      </x:c>
      <x:c r="G244" s="25" t="n">
        <x:v>24</x:v>
      </x:c>
      <x:c r="H244" s="26" t="str">
        <x:v>LED Tinsel Bow Gold；LED Tinsel Bow Red</x:v>
      </x:c>
      <x:c r="I244" s="26" t="str">
        <x:v>Christmas General 2026</x:v>
      </x:c>
      <x:c r="J244" s="26" t="str">
        <x:v>SKU精确匹配</x:v>
      </x:c>
    </x:row>
    <x:row r="245">
      <x:c r="A245" s="24" t="str">
        <x:v>HB ORION</x:v>
      </x:c>
      <x:c r="B245" s="24" t="str">
        <x:v>15</x:v>
      </x:c>
      <x:c r="C245" s="24" t="str">
        <x:v>圣诞普通商品</x:v>
      </x:c>
      <x:c r="D245" s="24" t="str">
        <x:v>桌面装饰</x:v>
      </x:c>
      <x:c r="E245" s="25" t="n">
        <x:v>1</x:v>
      </x:c>
      <x:c r="F245" s="25" t="n">
        <x:v>1</x:v>
      </x:c>
      <x:c r="G245" s="25" t="n">
        <x:v>24</x:v>
      </x:c>
      <x:c r="H245" s="26" t="str">
        <x:v>Waterball Highland Cow 45mm Asst</x:v>
      </x:c>
      <x:c r="I245" s="26" t="str">
        <x:v>Christmas General 2026</x:v>
      </x:c>
      <x:c r="J245" s="26" t="str">
        <x:v>SKU精确匹配</x:v>
      </x:c>
    </x:row>
    <x:row r="246">
      <x:c r="A246" s="24" t="str">
        <x:v>HB ORION</x:v>
      </x:c>
      <x:c r="B246" s="24" t="str">
        <x:v>15</x:v>
      </x:c>
      <x:c r="C246" s="24" t="str">
        <x:v>圣诞普通商品</x:v>
      </x:c>
      <x:c r="D246" s="24" t="str">
        <x:v>粉彩花园主题</x:v>
      </x:c>
      <x:c r="E246" s="25" t="n">
        <x:v>1</x:v>
      </x:c>
      <x:c r="F246" s="25" t="n">
        <x:v>1</x:v>
      </x:c>
      <x:c r="G246" s="25" t="n">
        <x:v>24</x:v>
      </x:c>
      <x:c r="H246" s="26" t="str">
        <x:v>Hanging Acrylic Flower 11.5cm Asst</x:v>
      </x:c>
      <x:c r="I246" s="26" t="str">
        <x:v>Christmas General 2026</x:v>
      </x:c>
      <x:c r="J246" s="26" t="str">
        <x:v>SKU精确匹配</x:v>
      </x:c>
    </x:row>
    <x:row r="247">
      <x:c r="A247" s="24" t="str">
        <x:v>HB ORION</x:v>
      </x:c>
      <x:c r="B247" s="24" t="str">
        <x:v>15</x:v>
      </x:c>
      <x:c r="C247" s="24" t="str">
        <x:v>圣诞普通商品</x:v>
      </x:c>
      <x:c r="D247" s="24" t="str">
        <x:v>Mean Green 主题</x:v>
      </x:c>
      <x:c r="E247" s="25" t="n">
        <x:v>1</x:v>
      </x:c>
      <x:c r="F247" s="25" t="n">
        <x:v>1</x:v>
      </x:c>
      <x:c r="G247" s="25" t="n">
        <x:v>12</x:v>
      </x:c>
      <x:c r="H247" s="26" t="str">
        <x:v>Mean Green Lollipop Pick 48cm Asst</x:v>
      </x:c>
      <x:c r="I247" s="26" t="str">
        <x:v>Christmas General 2026</x:v>
      </x:c>
      <x:c r="J247" s="26" t="str">
        <x:v>SKU精确匹配</x:v>
      </x:c>
    </x:row>
    <x:row r="248">
      <x:c r="A248" s="24" t="str">
        <x:v>HB ORION</x:v>
      </x:c>
      <x:c r="B248" s="24" t="str">
        <x:v>15</x:v>
      </x:c>
      <x:c r="C248" s="24" t="str">
        <x:v>圣诞普通商品</x:v>
      </x:c>
      <x:c r="D248" s="24" t="str">
        <x:v>糖果手杖主题</x:v>
      </x:c>
      <x:c r="E248" s="25" t="n">
        <x:v>1</x:v>
      </x:c>
      <x:c r="F248" s="25" t="n">
        <x:v>1</x:v>
      </x:c>
      <x:c r="G248" s="25" t="n">
        <x:v>8</x:v>
      </x:c>
      <x:c r="H248" s="26" t="str">
        <x:v>Candy Waffle Train Deco Asst</x:v>
      </x:c>
      <x:c r="I248" s="26" t="str">
        <x:v>Christmas General 2026</x:v>
      </x:c>
      <x:c r="J248" s="26" t="str">
        <x:v>SKU精确匹配</x:v>
      </x:c>
    </x:row>
    <x:row r="249">
      <x:c r="A249" s="24" t="str">
        <x:v>HB ORION</x:v>
      </x:c>
      <x:c r="B249" s="24" t="str">
        <x:v>15</x:v>
      </x:c>
      <x:c r="C249" s="24" t="str">
        <x:v>圣诞灯饰</x:v>
      </x:c>
      <x:c r="D249" s="24" t="str">
        <x:v>太阳能灯饰</x:v>
      </x:c>
      <x:c r="E249" s="25" t="n">
        <x:v>7</x:v>
      </x:c>
      <x:c r="F249" s="25" t="n">
        <x:v>12</x:v>
      </x:c>
      <x:c r="G249" s="25" t="n">
        <x:v>140</x:v>
      </x:c>
      <x:c r="H249" s="26" t="str">
        <x:v>Solar Mini Path Lights Star/Bulb 10pk Asst；Solar LED Star Path Lights 5pk Asst；Solar LED Snowflake Path Lights 5pk Asst</x:v>
      </x:c>
      <x:c r="I249" s="26" t="str">
        <x:v>Christmas Lighting 2026</x:v>
      </x:c>
      <x:c r="J249" s="26" t="str">
        <x:v>SKU精确匹配</x:v>
      </x:c>
    </x:row>
    <x:row r="250">
      <x:c r="A250" s="24" t="str">
        <x:v>HB ORION</x:v>
      </x:c>
      <x:c r="B250" s="24" t="str">
        <x:v>15</x:v>
      </x:c>
      <x:c r="C250" s="24" t="str">
        <x:v>圣诞灯饰</x:v>
      </x:c>
      <x:c r="D250" s="24" t="str">
        <x:v>创意灯饰</x:v>
      </x:c>
      <x:c r="E250" s="25" t="n">
        <x:v>4</x:v>
      </x:c>
      <x:c r="F250" s="25" t="n">
        <x:v>6</x:v>
      </x:c>
      <x:c r="G250" s="25" t="n">
        <x:v>34</x:v>
      </x:c>
      <x:c r="H250" s="26" t="str">
        <x:v>LED Rainfall Tubes 12pk Mixed Size Multi Colour；Nativity Star Curtain Light Multi Col；Flashing Parachute Light w/Nylon Santa</x:v>
      </x:c>
      <x:c r="I250" s="26" t="str">
        <x:v>Christmas Lighting 2026</x:v>
      </x:c>
      <x:c r="J250" s="26" t="str">
        <x:v>SKU精确匹配</x:v>
      </x:c>
    </x:row>
    <x:row r="251">
      <x:c r="A251" s="24" t="str">
        <x:v>HB ORION</x:v>
      </x:c>
      <x:c r="B251" s="24" t="str">
        <x:v>15</x:v>
      </x:c>
      <x:c r="C251" s="24" t="str">
        <x:v>圣诞灯饰</x:v>
      </x:c>
      <x:c r="D251" s="24" t="str">
        <x:v>庭院灯饰</x:v>
      </x:c>
      <x:c r="E251" s="25" t="n">
        <x:v>1</x:v>
      </x:c>
      <x:c r="F251" s="25" t="n">
        <x:v>2</x:v>
      </x:c>
      <x:c r="G251" s="25" t="n">
        <x:v>8</x:v>
      </x:c>
      <x:c r="H251" s="26" t="str">
        <x:v>Jumbo Stop Sign w/Lollipops 3pk Flashing</x:v>
      </x:c>
      <x:c r="I251" s="26" t="str">
        <x:v>Christmas Lighting 2026</x:v>
      </x:c>
      <x:c r="J251" s="26" t="str">
        <x:v>SKU精确匹配</x:v>
      </x:c>
    </x:row>
    <x:row r="252">
      <x:c r="A252" s="24" t="str">
        <x:v>HB ORION</x:v>
      </x:c>
      <x:c r="B252" s="24" t="str">
        <x:v>15</x:v>
      </x:c>
      <x:c r="C252" s="24" t="str">
        <x:v>圣诞灯饰</x:v>
      </x:c>
      <x:c r="D252" s="24" t="str">
        <x:v>Ropelight 绳灯</x:v>
      </x:c>
      <x:c r="E252" s="25" t="n">
        <x:v>2</x:v>
      </x:c>
      <x:c r="F252" s="25" t="n">
        <x:v>2</x:v>
      </x:c>
      <x:c r="G252" s="25" t="n">
        <x:v>8</x:v>
      </x:c>
      <x:c r="H252" s="26" t="str">
        <x:v>Ropelight Happy Santa Twinkle Red-Green-Cool；Ropelight Santa Airplane Spinning Prop</x:v>
      </x:c>
      <x:c r="I252" s="26" t="str">
        <x:v>Christmas Lighting 2026</x:v>
      </x:c>
      <x:c r="J252" s="26" t="str">
        <x:v>SKU精确匹配</x:v>
      </x:c>
    </x:row>
    <x:row r="253">
      <x:c r="A253" s="24" t="str">
        <x:v>HB ORION</x:v>
      </x:c>
      <x:c r="B253" s="24" t="str">
        <x:v>15</x:v>
      </x:c>
      <x:c r="C253" s="24" t="str">
        <x:v>圣诞灯饰</x:v>
      </x:c>
      <x:c r="D253" s="24" t="str">
        <x:v>图案灯/Motif Lights</x:v>
      </x:c>
      <x:c r="E253" s="25" t="n">
        <x:v>1</x:v>
      </x:c>
      <x:c r="F253" s="25" t="n">
        <x:v>1</x:v>
      </x:c>
      <x:c r="G253" s="25" t="n">
        <x:v>4</x:v>
      </x:c>
      <x:c r="H253" s="26" t="str">
        <x:v>LED Motif Triple Star Multi Colour Twinkle</x:v>
      </x:c>
      <x:c r="I253" s="26" t="str">
        <x:v>Christmas Lighting 2026</x:v>
      </x:c>
      <x:c r="J253" s="26" t="str">
        <x:v>SKU精确匹配</x:v>
      </x:c>
    </x:row>
    <x:row r="254">
      <x:c r="A254" s="24" t="str">
        <x:v>HB ORION</x:v>
      </x:c>
      <x:c r="B254" s="24" t="str">
        <x:v>15</x:v>
      </x:c>
      <x:c r="C254" s="24" t="str">
        <x:v>圣诞灯饰</x:v>
      </x:c>
      <x:c r="D254" s="24" t="str">
        <x:v>灯光圣诞树</x:v>
      </x:c>
      <x:c r="E254" s="25" t="n">
        <x:v>1</x:v>
      </x:c>
      <x:c r="F254" s="25" t="n">
        <x:v>1</x:v>
      </x:c>
      <x:c r="G254" s="25" t="n">
        <x:v>4</x:v>
      </x:c>
      <x:c r="H254" s="26" t="str">
        <x:v>Weeping Willow 210cm Warm White Twinkle</x:v>
      </x:c>
      <x:c r="I254" s="26" t="str">
        <x:v>Christmas Lighting 2026</x:v>
      </x:c>
      <x:c r="J254" s="26" t="str">
        <x:v>SKU精确匹配</x:v>
      </x:c>
    </x:row>
    <x:row r="255">
      <x:c r="A255" s="24" t="str">
        <x:v>HB ORION</x:v>
      </x:c>
      <x:c r="B255" s="24" t="str">
        <x:v>18</x:v>
      </x:c>
      <x:c r="C255" s="24" t="str">
        <x:v>万圣节</x:v>
      </x:c>
      <x:c r="D255" s="24" t="str">
        <x:v>吸血鬼</x:v>
      </x:c>
      <x:c r="E255" s="25" t="n">
        <x:v>4</x:v>
      </x:c>
      <x:c r="F255" s="25" t="n">
        <x:v>7</x:v>
      </x:c>
      <x:c r="G255" s="25" t="n">
        <x:v>192</x:v>
      </x:c>
      <x:c r="H255" s="26" t="str">
        <x:v>Vampire G.I.D Teeth 6cm 10pk；Blood and Vampire Teeth Asst；Vampire Makeup Kit Asst</x:v>
      </x:c>
      <x:c r="I255" s="26" t="str">
        <x:v>Halloween Catalogue 2026</x:v>
      </x:c>
      <x:c r="J255" s="26" t="str">
        <x:v>SKU精确匹配</x:v>
      </x:c>
    </x:row>
    <x:row r="256">
      <x:c r="A256" s="24" t="str">
        <x:v>HB ORION</x:v>
      </x:c>
      <x:c r="B256" s="24" t="str">
        <x:v>18</x:v>
      </x:c>
      <x:c r="C256" s="24" t="str">
        <x:v>万圣节</x:v>
      </x:c>
      <x:c r="D256" s="24" t="str">
        <x:v>装扮与配饰</x:v>
      </x:c>
      <x:c r="E256" s="25" t="n">
        <x:v>6</x:v>
      </x:c>
      <x:c r="F256" s="25" t="n">
        <x:v>7</x:v>
      </x:c>
      <x:c r="G256" s="25" t="n">
        <x:v>108</x:v>
      </x:c>
      <x:c r="H256" s="26" t="str">
        <x:v>Neon Streak Wig Asst Adults；Flower Veiled Headband Asst；Printed Knee High Tights Asst</x:v>
      </x:c>
      <x:c r="I256" s="26" t="str">
        <x:v>Halloween Catalogue 2026</x:v>
      </x:c>
      <x:c r="J256" s="26" t="str">
        <x:v>SKU精确匹配</x:v>
      </x:c>
    </x:row>
    <x:row r="257">
      <x:c r="A257" s="24" t="str">
        <x:v>HB ORION</x:v>
      </x:c>
      <x:c r="B257" s="24" t="str">
        <x:v>18</x:v>
      </x:c>
      <x:c r="C257" s="24" t="str">
        <x:v>万圣节</x:v>
      </x:c>
      <x:c r="D257" s="24" t="str">
        <x:v>万圣节装饰</x:v>
      </x:c>
      <x:c r="E257" s="25" t="n">
        <x:v>5</x:v>
      </x:c>
      <x:c r="F257" s="25" t="n">
        <x:v>6</x:v>
      </x:c>
      <x:c r="G257" s="25" t="n">
        <x:v>136</x:v>
      </x:c>
      <x:c r="H257" s="26" t="str">
        <x:v>Skull Flower Pot；Creepy Crawlies 46g Asst；Spiders 8pk Asst</x:v>
      </x:c>
      <x:c r="I257" s="26" t="str">
        <x:v>Halloween Catalogue 2026</x:v>
      </x:c>
      <x:c r="J257" s="26" t="str">
        <x:v>SKU精确匹配</x:v>
      </x:c>
    </x:row>
    <x:row r="258">
      <x:c r="A258" s="24" t="str">
        <x:v>HB ORION</x:v>
      </x:c>
      <x:c r="B258" s="24" t="str">
        <x:v>18</x:v>
      </x:c>
      <x:c r="C258" s="24" t="str">
        <x:v>万圣节</x:v>
      </x:c>
      <x:c r="D258" s="24" t="str">
        <x:v>特效与化妆</x:v>
      </x:c>
      <x:c r="E258" s="25" t="n">
        <x:v>2</x:v>
      </x:c>
      <x:c r="F258" s="25" t="n">
        <x:v>4</x:v>
      </x:c>
      <x:c r="G258" s="25" t="n">
        <x:v>192</x:v>
      </x:c>
      <x:c r="H258" s="26" t="str">
        <x:v>Face Paint Asst；Horror Face Paint Set Asst</x:v>
      </x:c>
      <x:c r="I258" s="26" t="str">
        <x:v>Halloween Catalogue 2026</x:v>
      </x:c>
      <x:c r="J258" s="26" t="str">
        <x:v>SKU精确匹配</x:v>
      </x:c>
    </x:row>
    <x:row r="259">
      <x:c r="A259" s="24" t="str">
        <x:v>HB ORION</x:v>
      </x:c>
      <x:c r="B259" s="24" t="str">
        <x:v>18</x:v>
      </x:c>
      <x:c r="C259" s="24" t="str">
        <x:v>万圣节</x:v>
      </x:c>
      <x:c r="D259" s="24" t="str">
        <x:v>不给糖就捣蛋与派对</x:v>
      </x:c>
      <x:c r="E259" s="25" t="n">
        <x:v>4</x:v>
      </x:c>
      <x:c r="F259" s="25" t="n">
        <x:v>4</x:v>
      </x:c>
      <x:c r="G259" s="25" t="n">
        <x:v>120</x:v>
      </x:c>
      <x:c r="H259" s="26" t="str">
        <x:v>Halloween Paper Cup 250mL 8pk Asst；Halloween Metallic Shopper Bag 35cm Asst；Dangly Legs and Arms Felt Bag 18cm Asst</x:v>
      </x:c>
      <x:c r="I259" s="26" t="str">
        <x:v>Halloween Catalogue 2026</x:v>
      </x:c>
      <x:c r="J259" s="26" t="str">
        <x:v>SKU精确匹配</x:v>
      </x:c>
    </x:row>
    <x:row r="260">
      <x:c r="A260" s="24" t="str">
        <x:v>HB ORION</x:v>
      </x:c>
      <x:c r="B260" s="24" t="str">
        <x:v>18</x:v>
      </x:c>
      <x:c r="C260" s="24" t="str">
        <x:v>万圣节</x:v>
      </x:c>
      <x:c r="D260" s="24" t="str">
        <x:v>女巫</x:v>
      </x:c>
      <x:c r="E260" s="25" t="n">
        <x:v>3</x:v>
      </x:c>
      <x:c r="F260" s="25" t="n">
        <x:v>4</x:v>
      </x:c>
      <x:c r="G260" s="25" t="n">
        <x:v>60</x:v>
      </x:c>
      <x:c r="H260" s="26" t="str">
        <x:v>Costume Darkwood Witch Adults；Spider Webbing Witch Hat Asst；Midnight Magic Witch Hat Kids Asst</x:v>
      </x:c>
      <x:c r="I260" s="26" t="str">
        <x:v>Halloween Catalogue 2026</x:v>
      </x:c>
      <x:c r="J260" s="26" t="str">
        <x:v>SKU精确匹配</x:v>
      </x:c>
    </x:row>
    <x:row r="261">
      <x:c r="A261" s="24" t="str">
        <x:v>HB ORION</x:v>
      </x:c>
      <x:c r="B261" s="24" t="str">
        <x:v>18</x:v>
      </x:c>
      <x:c r="C261" s="24" t="str">
        <x:v>万圣节</x:v>
      </x:c>
      <x:c r="D261" s="24" t="str">
        <x:v>僵尸</x:v>
      </x:c>
      <x:c r="E261" s="25" t="n">
        <x:v>2</x:v>
      </x:c>
      <x:c r="F261" s="25" t="n">
        <x:v>3</x:v>
      </x:c>
      <x:c r="G261" s="25" t="n">
        <x:v>18</x:v>
      </x:c>
      <x:c r="H261" s="26" t="str">
        <x:v>Grotesque Bitten Latex Mask；Costume Zombie Nurse Adults</x:v>
      </x:c>
      <x:c r="I261" s="26" t="str">
        <x:v>Halloween Catalogue 2026</x:v>
      </x:c>
      <x:c r="J261" s="26" t="str">
        <x:v>SKU精确匹配</x:v>
      </x:c>
    </x:row>
    <x:row r="262">
      <x:c r="A262" s="24" t="str">
        <x:v>HB ORION</x:v>
      </x:c>
      <x:c r="B262" s="24" t="str">
        <x:v>18</x:v>
      </x:c>
      <x:c r="C262" s="24" t="str">
        <x:v>万圣节</x:v>
      </x:c>
      <x:c r="D262" s="24" t="str">
        <x:v>通用服装</x:v>
      </x:c>
      <x:c r="E262" s="25" t="n">
        <x:v>3</x:v>
      </x:c>
      <x:c r="F262" s="25" t="n">
        <x:v>3</x:v>
      </x:c>
      <x:c r="G262" s="25" t="n">
        <x:v>18</x:v>
      </x:c>
      <x:c r="H262" s="26" t="str">
        <x:v>Costume Blood Fire Dragon Skeleton Kids；Costume Blue Frost Space Explorer Skeleton Kids；Costume Blood-Draped Dark Reaper Adults</x:v>
      </x:c>
      <x:c r="I262" s="26" t="str">
        <x:v>Halloween Catalogue 2026</x:v>
      </x:c>
      <x:c r="J262" s="26" t="str">
        <x:v>SKU精确匹配</x:v>
      </x:c>
    </x:row>
    <x:row r="263">
      <x:c r="A263" s="24" t="str">
        <x:v>HB ORION</x:v>
      </x:c>
      <x:c r="B263" s="24" t="str">
        <x:v>18</x:v>
      </x:c>
      <x:c r="C263" s="24" t="str">
        <x:v>万圣节</x:v>
      </x:c>
      <x:c r="D263" s="24" t="str">
        <x:v>悬挂/站立装饰</x:v>
      </x:c>
      <x:c r="E263" s="25" t="n">
        <x:v>2</x:v>
      </x:c>
      <x:c r="F263" s="25" t="n">
        <x:v>2</x:v>
      </x:c>
      <x:c r="G263" s="25" t="n">
        <x:v>24</x:v>
      </x:c>
      <x:c r="H263" s="26" t="str">
        <x:v>Hanging Skeleton Caged 42cm；Relaxing Skeleton 19cm Asst</x:v>
      </x:c>
      <x:c r="I263" s="26" t="str">
        <x:v>Halloween Catalogue 2026</x:v>
      </x:c>
      <x:c r="J263" s="26" t="str">
        <x:v>SKU精确匹配</x:v>
      </x:c>
    </x:row>
    <x:row r="264">
      <x:c r="A264" s="24" t="str">
        <x:v>HB ORION</x:v>
      </x:c>
      <x:c r="B264" s="24" t="str">
        <x:v>18</x:v>
      </x:c>
      <x:c r="C264" s="24" t="str">
        <x:v>万圣节</x:v>
      </x:c>
      <x:c r="D264" s="24" t="str">
        <x:v>面具</x:v>
      </x:c>
      <x:c r="E264" s="25" t="n">
        <x:v>1</x:v>
      </x:c>
      <x:c r="F264" s="25" t="n">
        <x:v>1</x:v>
      </x:c>
      <x:c r="G264" s="25" t="n">
        <x:v>24</x:v>
      </x:c>
      <x:c r="H264" s="26" t="str">
        <x:v>Wild Animal Mask Asst</x:v>
      </x:c>
      <x:c r="I264" s="26" t="str">
        <x:v>Halloween Catalogue 2026</x:v>
      </x:c>
      <x:c r="J264" s="26" t="str">
        <x:v>SKU精确匹配</x:v>
      </x:c>
    </x:row>
    <x:row r="265">
      <x:c r="A265" s="24" t="str">
        <x:v>HB ORION</x:v>
      </x:c>
      <x:c r="B265" s="24" t="str">
        <x:v>18</x:v>
      </x:c>
      <x:c r="C265" s="24" t="str">
        <x:v>万圣节</x:v>
      </x:c>
      <x:c r="D265" s="24" t="str">
        <x:v>骷髅与庭院装饰</x:v>
      </x:c>
      <x:c r="E265" s="25" t="n">
        <x:v>1</x:v>
      </x:c>
      <x:c r="F265" s="25" t="n">
        <x:v>1</x:v>
      </x:c>
      <x:c r="G265" s="25" t="n">
        <x:v>24</x:v>
      </x:c>
      <x:c r="H265" s="26" t="str">
        <x:v>Zombie Warning Sign Stake 58cm Asst</x:v>
      </x:c>
      <x:c r="I265" s="26" t="str">
        <x:v>Halloween Catalogue 2026</x:v>
      </x:c>
      <x:c r="J265" s="26" t="str">
        <x:v>SKU精确匹配</x:v>
      </x:c>
    </x:row>
    <x:row r="266">
      <x:c r="A266" s="24" t="str">
        <x:v>HB ORION</x:v>
      </x:c>
      <x:c r="B266" s="24" t="str">
        <x:v>18</x:v>
      </x:c>
      <x:c r="C266" s="24" t="str">
        <x:v>万圣节</x:v>
      </x:c>
      <x:c r="D266" s="24" t="str">
        <x:v>疯人院</x:v>
      </x:c>
      <x:c r="E266" s="25" t="n">
        <x:v>1</x:v>
      </x:c>
      <x:c r="F266" s="25" t="n">
        <x:v>1</x:v>
      </x:c>
      <x:c r="G266" s="25" t="n">
        <x:v>6</x:v>
      </x:c>
      <x:c r="H266" s="26" t="str">
        <x:v>Costume Bloody Doctor Adults</x:v>
      </x:c>
      <x:c r="I266" s="26" t="str">
        <x:v>Halloween Catalogue 2026</x:v>
      </x:c>
      <x:c r="J266" s="26" t="str">
        <x:v>SKU精确匹配</x:v>
      </x:c>
    </x:row>
    <x:row r="267">
      <x:c r="A267" s="24" t="str">
        <x:v>HB ORION</x:v>
      </x:c>
      <x:c r="B267" s="24" t="str">
        <x:v>18</x:v>
      </x:c>
      <x:c r="C267" s="24" t="str">
        <x:v>圣诞普通商品</x:v>
      </x:c>
      <x:c r="D267" s="24" t="str">
        <x:v>桌面装饰</x:v>
      </x:c>
      <x:c r="E267" s="25" t="n">
        <x:v>6</x:v>
      </x:c>
      <x:c r="F267" s="25" t="n">
        <x:v>9</x:v>
      </x:c>
      <x:c r="G267" s="25" t="n">
        <x:v>186</x:v>
      </x:c>
      <x:c r="H267" s="26" t="str">
        <x:v>Tree Topper Star 20cm Asst；Mini Star Topper 13cm Asst；LED Snowy Victorian Shop Asst</x:v>
      </x:c>
      <x:c r="I267" s="26" t="str">
        <x:v>Christmas General 2026</x:v>
      </x:c>
      <x:c r="J267" s="26" t="str">
        <x:v>SKU精确匹配</x:v>
      </x:c>
    </x:row>
    <x:row r="268">
      <x:c r="A268" s="24" t="str">
        <x:v>HB ORION</x:v>
      </x:c>
      <x:c r="B268" s="24" t="str">
        <x:v>18</x:v>
      </x:c>
      <x:c r="C268" s="24" t="str">
        <x:v>圣诞普通商品</x:v>
      </x:c>
      <x:c r="D268" s="24" t="str">
        <x:v>铃铛</x:v>
      </x:c>
      <x:c r="E268" s="25" t="n">
        <x:v>4</x:v>
      </x:c>
      <x:c r="F268" s="25" t="n">
        <x:v>9</x:v>
      </x:c>
      <x:c r="G268" s="25" t="n">
        <x:v>144</x:v>
      </x:c>
      <x:c r="H268" s="26" t="str">
        <x:v>Triple Bells Hanger Berry Deco 40cm Asst；Twin Bells Hanger Striped Bow Asst；Nutbells Pack Mega Mix Asst</x:v>
      </x:c>
      <x:c r="I268" s="26" t="str">
        <x:v>Christmas General 2026</x:v>
      </x:c>
      <x:c r="J268" s="26" t="str">
        <x:v>SKU精确匹配</x:v>
      </x:c>
    </x:row>
    <x:row r="269">
      <x:c r="A269" s="24" t="str">
        <x:v>HB ORION</x:v>
      </x:c>
      <x:c r="B269" s="24" t="str">
        <x:v>18</x:v>
      </x:c>
      <x:c r="C269" s="24" t="str">
        <x:v>圣诞普通商品</x:v>
      </x:c>
      <x:c r="D269" s="24" t="str">
        <x:v>圣诞树挂饰</x:v>
      </x:c>
      <x:c r="E269" s="25" t="n">
        <x:v>6</x:v>
      </x:c>
      <x:c r="F269" s="25" t="n">
        <x:v>8</x:v>
      </x:c>
      <x:c r="G269" s="25" t="n">
        <x:v>240</x:v>
      </x:c>
      <x:c r="H269" s="26" t="str">
        <x:v>Hanging Iridescent Ballerina 18cm Asst；Hanging Fairy Glitter Wings 14cm Asst；Hanging Spinning Photo Deco 8cm Asst</x:v>
      </x:c>
      <x:c r="I269" s="26" t="str">
        <x:v>Christmas General 2026</x:v>
      </x:c>
      <x:c r="J269" s="26" t="str">
        <x:v>SKU精确匹配</x:v>
      </x:c>
    </x:row>
    <x:row r="270">
      <x:c r="A270" s="24" t="str">
        <x:v>HB ORION</x:v>
      </x:c>
      <x:c r="B270" s="24" t="str">
        <x:v>18</x:v>
      </x:c>
      <x:c r="C270" s="24" t="str">
        <x:v>圣诞普通商品</x:v>
      </x:c>
      <x:c r="D270" s="24" t="str">
        <x:v>厨房用品</x:v>
      </x:c>
      <x:c r="E270" s="25" t="n">
        <x:v>5</x:v>
      </x:c>
      <x:c r="F270" s="25" t="n">
        <x:v>5</x:v>
      </x:c>
      <x:c r="G270" s="25" t="n">
        <x:v>156</x:v>
      </x:c>
      <x:c r="H270" s="26" t="str">
        <x:v>Tea Towel Print Asst；Food Net Christmas 140cm Asst；Kitchen Oven Set 2pk Asst</x:v>
      </x:c>
      <x:c r="I270" s="26" t="str">
        <x:v>Christmas General 2026</x:v>
      </x:c>
      <x:c r="J270" s="26" t="str">
        <x:v>SKU精确匹配</x:v>
      </x:c>
    </x:row>
    <x:row r="271">
      <x:c r="A271" s="24" t="str">
        <x:v>HB ORION</x:v>
      </x:c>
      <x:c r="B271" s="24" t="str">
        <x:v>18</x:v>
      </x:c>
      <x:c r="C271" s="24" t="str">
        <x:v>圣诞普通商品</x:v>
      </x:c>
      <x:c r="D271" s="24" t="str">
        <x:v>糖果手杖主题</x:v>
      </x:c>
      <x:c r="E271" s="25" t="n">
        <x:v>4</x:v>
      </x:c>
      <x:c r="F271" s="25" t="n">
        <x:v>4</x:v>
      </x:c>
      <x:c r="G271" s="25" t="n">
        <x:v>108</x:v>
      </x:c>
      <x:c r="H271" s="26" t="str">
        <x:v>Hanging Metal Mini Sign Asst；Double Bow Flocked Candy Stripe；Hanging Sweet Gingerbread 12cm Asst</x:v>
      </x:c>
      <x:c r="I271" s="26" t="str">
        <x:v>Christmas General 2026</x:v>
      </x:c>
      <x:c r="J271" s="26" t="str">
        <x:v>SKU精确匹配</x:v>
      </x:c>
    </x:row>
    <x:row r="272">
      <x:c r="A272" s="24" t="str">
        <x:v>HB ORION</x:v>
      </x:c>
      <x:c r="B272" s="24" t="str">
        <x:v>18</x:v>
      </x:c>
      <x:c r="C272" s="24" t="str">
        <x:v>圣诞普通商品</x:v>
      </x:c>
      <x:c r="D272" s="24" t="str">
        <x:v>奢华传统主题</x:v>
      </x:c>
      <x:c r="E272" s="25" t="n">
        <x:v>2</x:v>
      </x:c>
      <x:c r="F272" s="25" t="n">
        <x:v>4</x:v>
      </x:c>
      <x:c r="G272" s="25" t="n">
        <x:v>96</x:v>
      </x:c>
      <x:c r="H272" s="26" t="str">
        <x:v>Bauble Tartan 80mm Asst；Bauble Shiny Honeycomb 15cm Asst</x:v>
      </x:c>
      <x:c r="I272" s="26" t="str">
        <x:v>Christmas General 2026</x:v>
      </x:c>
      <x:c r="J272" s="26" t="str">
        <x:v>SKU精确匹配</x:v>
      </x:c>
    </x:row>
    <x:row r="273">
      <x:c r="A273" s="24" t="str">
        <x:v>HB ORION</x:v>
      </x:c>
      <x:c r="B273" s="24" t="str">
        <x:v>18</x:v>
      </x:c>
      <x:c r="C273" s="24" t="str">
        <x:v>圣诞普通商品</x:v>
      </x:c>
      <x:c r="D273" s="24" t="str">
        <x:v>纺织品</x:v>
      </x:c>
      <x:c r="E273" s="25" t="n">
        <x:v>2</x:v>
      </x:c>
      <x:c r="F273" s="25" t="n">
        <x:v>4</x:v>
      </x:c>
      <x:c r="G273" s="25" t="n">
        <x:v>72</x:v>
      </x:c>
      <x:c r="H273" s="26" t="str">
        <x:v>Tablecloth Printed 132x228cm Asst；Tablecloth Printed 150x225cm Asst</x:v>
      </x:c>
      <x:c r="I273" s="26" t="str">
        <x:v>Christmas General 2026</x:v>
      </x:c>
      <x:c r="J273" s="26" t="str">
        <x:v>SKU精确匹配</x:v>
      </x:c>
    </x:row>
    <x:row r="274">
      <x:c r="A274" s="24" t="str">
        <x:v>HB ORION</x:v>
      </x:c>
      <x:c r="B274" s="24" t="str">
        <x:v>18</x:v>
      </x:c>
      <x:c r="C274" s="24" t="str">
        <x:v>圣诞普通商品</x:v>
      </x:c>
      <x:c r="D274" s="24" t="str">
        <x:v>墙面装饰</x:v>
      </x:c>
      <x:c r="E274" s="25" t="n">
        <x:v>3</x:v>
      </x:c>
      <x:c r="F274" s="25" t="n">
        <x:v>3</x:v>
      </x:c>
      <x:c r="G274" s="25" t="n">
        <x:v>54</x:v>
      </x:c>
      <x:c r="H274" s="26" t="str">
        <x:v>Hanging Metal Berry Wreath Plaque Asst；Hanging Metal North Pole Sign Asst；Hanging Metal Merry Christmas Sign</x:v>
      </x:c>
      <x:c r="I274" s="26" t="str">
        <x:v>Christmas General 2026</x:v>
      </x:c>
      <x:c r="J274" s="26" t="str">
        <x:v>SKU精确匹配</x:v>
      </x:c>
    </x:row>
    <x:row r="275">
      <x:c r="A275" s="24" t="str">
        <x:v>HB ORION</x:v>
      </x:c>
      <x:c r="B275" s="24" t="str">
        <x:v>18</x:v>
      </x:c>
      <x:c r="C275" s="24" t="str">
        <x:v>圣诞普通商品</x:v>
      </x:c>
      <x:c r="D275" s="24" t="str">
        <x:v>午夜蓝主题</x:v>
      </x:c>
      <x:c r="E275" s="25" t="n">
        <x:v>1</x:v>
      </x:c>
      <x:c r="F275" s="25" t="n">
        <x:v>1</x:v>
      </x:c>
      <x:c r="G275" s="25" t="n">
        <x:v>36</x:v>
      </x:c>
      <x:c r="H275" s="26" t="str">
        <x:v>Bauble Matte Diamond Blue 70mm Asst</x:v>
      </x:c>
      <x:c r="I275" s="26" t="str">
        <x:v>Christmas General 2026</x:v>
      </x:c>
      <x:c r="J275" s="26" t="str">
        <x:v>SKU精确匹配</x:v>
      </x:c>
    </x:row>
    <x:row r="276">
      <x:c r="A276" s="24" t="str">
        <x:v>HB ORION</x:v>
      </x:c>
      <x:c r="B276" s="24" t="str">
        <x:v>18</x:v>
      </x:c>
      <x:c r="C276" s="24" t="str">
        <x:v>圣诞普通商品</x:v>
      </x:c>
      <x:c r="D276" s="24" t="str">
        <x:v>花材与枝叶</x:v>
      </x:c>
      <x:c r="E276" s="25" t="n">
        <x:v>1</x:v>
      </x:c>
      <x:c r="F276" s="25" t="n">
        <x:v>1</x:v>
      </x:c>
      <x:c r="G276" s="25" t="n">
        <x:v>24</x:v>
      </x:c>
      <x:c r="H276" s="26" t="str">
        <x:v>Garland Mini Holly 150cm Asst</x:v>
      </x:c>
      <x:c r="I276" s="26" t="str">
        <x:v>Christmas General 2026</x:v>
      </x:c>
      <x:c r="J276" s="26" t="str">
        <x:v>SKU精确匹配</x:v>
      </x:c>
    </x:row>
    <x:row r="277">
      <x:c r="A277" s="24" t="str">
        <x:v>HB ORION</x:v>
      </x:c>
      <x:c r="B277" s="24" t="str">
        <x:v>18</x:v>
      </x:c>
      <x:c r="C277" s="24" t="str">
        <x:v>圣诞普通商品</x:v>
      </x:c>
      <x:c r="D277" s="24" t="str">
        <x:v>Mean Green 主题</x:v>
      </x:c>
      <x:c r="E277" s="25" t="n">
        <x:v>1</x:v>
      </x:c>
      <x:c r="F277" s="25" t="n">
        <x:v>1</x:v>
      </x:c>
      <x:c r="G277" s="25" t="n">
        <x:v>12</x:v>
      </x:c>
      <x:c r="H277" s="26" t="str">
        <x:v>Elf Legs Pick 38cm Asst</x:v>
      </x:c>
      <x:c r="I277" s="26" t="str">
        <x:v>Christmas General 2026</x:v>
      </x:c>
      <x:c r="J277" s="26" t="str">
        <x:v>SKU精确匹配</x:v>
      </x:c>
    </x:row>
    <x:row r="278">
      <x:c r="A278" s="24" t="str">
        <x:v>HB ORION</x:v>
      </x:c>
      <x:c r="B278" s="24" t="str">
        <x:v>18</x:v>
      </x:c>
      <x:c r="C278" s="24" t="str">
        <x:v>圣诞普通商品</x:v>
      </x:c>
      <x:c r="D278" s="24" t="str">
        <x:v>粉彩花园主题</x:v>
      </x:c>
      <x:c r="E278" s="25" t="n">
        <x:v>1</x:v>
      </x:c>
      <x:c r="F278" s="25" t="n">
        <x:v>1</x:v>
      </x:c>
      <x:c r="G278" s="25" t="n">
        <x:v>12</x:v>
      </x:c>
      <x:c r="H278" s="26" t="str">
        <x:v>Pastel Sitting Santa/Reindeer 35cm Asst</x:v>
      </x:c>
      <x:c r="I278" s="26" t="str">
        <x:v>Christmas General 2026</x:v>
      </x:c>
      <x:c r="J278" s="26" t="str">
        <x:v>SKU精确匹配</x:v>
      </x:c>
    </x:row>
    <x:row r="279">
      <x:c r="A279" s="24" t="str">
        <x:v>HB ORION</x:v>
      </x:c>
      <x:c r="B279" s="24" t="str">
        <x:v>18</x:v>
      </x:c>
      <x:c r="C279" s="24" t="str">
        <x:v>圣诞灯饰</x:v>
      </x:c>
      <x:c r="D279" s="24" t="str">
        <x:v>创意灯饰</x:v>
      </x:c>
      <x:c r="E279" s="25" t="n">
        <x:v>3</x:v>
      </x:c>
      <x:c r="F279" s="25" t="n">
        <x:v>4</x:v>
      </x:c>
      <x:c r="G279" s="25" t="n">
        <x:v>36</x:v>
      </x:c>
      <x:c r="H279" s="26" t="str">
        <x:v>LED Garden Star Cascade 3.5m Multi Colour；LED Dew Drop Star Curtain Gold；Snowflake-Star Curtain Light Warm White</x:v>
      </x:c>
      <x:c r="I279" s="26" t="str">
        <x:v>Christmas Lighting 2026</x:v>
      </x:c>
      <x:c r="J279" s="26" t="str">
        <x:v>SKU精确匹配</x:v>
      </x:c>
    </x:row>
    <x:row r="280">
      <x:c r="A280" s="24" t="str">
        <x:v>HB ORION</x:v>
      </x:c>
      <x:c r="B280" s="24" t="str">
        <x:v>18</x:v>
      </x:c>
      <x:c r="C280" s="24" t="str">
        <x:v>圣诞灯饰</x:v>
      </x:c>
      <x:c r="D280" s="24" t="str">
        <x:v>庭院灯饰</x:v>
      </x:c>
      <x:c r="E280" s="25" t="n">
        <x:v>3</x:v>
      </x:c>
      <x:c r="F280" s="25" t="n">
        <x:v>3</x:v>
      </x:c>
      <x:c r="G280" s="25" t="n">
        <x:v>22</x:v>
      </x:c>
      <x:c r="H280" s="26" t="str">
        <x:v>Solar Disco Projector RGB；Solar Laser Red-Green Dots/Icons；Lit Picket Fence 8pk Warm White</x:v>
      </x:c>
      <x:c r="I280" s="26" t="str">
        <x:v>Christmas Lighting 2026</x:v>
      </x:c>
      <x:c r="J280" s="26" t="str">
        <x:v>SKU精确匹配</x:v>
      </x:c>
    </x:row>
    <x:row r="281">
      <x:c r="A281" s="24" t="str">
        <x:v>HB ORION</x:v>
      </x:c>
      <x:c r="B281" s="24" t="str">
        <x:v>18</x:v>
      </x:c>
      <x:c r="C281" s="24" t="str">
        <x:v>圣诞灯饰</x:v>
      </x:c>
      <x:c r="D281" s="24" t="str">
        <x:v>Infinity/Neon 灯饰</x:v>
      </x:c>
      <x:c r="E281" s="25" t="n">
        <x:v>3</x:v>
      </x:c>
      <x:c r="F281" s="25" t="n">
        <x:v>3</x:v>
      </x:c>
      <x:c r="G281" s="25" t="n">
        <x:v>22</x:v>
      </x:c>
      <x:c r="H281" s="26" t="str">
        <x:v>Infinity Light Tree 40cm；Infinity Light Santa 40cm；Neonflex Light Merry Christmas Hat</x:v>
      </x:c>
      <x:c r="I281" s="26" t="str">
        <x:v>Christmas Lighting 2026</x:v>
      </x:c>
      <x:c r="J281" s="26" t="str">
        <x:v>SKU精确匹配</x:v>
      </x:c>
    </x:row>
    <x:row r="282">
      <x:c r="A282" s="24" t="str">
        <x:v>HB ORION</x:v>
      </x:c>
      <x:c r="B282" s="24" t="str">
        <x:v>18</x:v>
      </x:c>
      <x:c r="C282" s="24" t="str">
        <x:v>圣诞灯饰</x:v>
      </x:c>
      <x:c r="D282" s="24" t="str">
        <x:v>太阳能灯饰</x:v>
      </x:c>
      <x:c r="E282" s="25" t="n">
        <x:v>1</x:v>
      </x:c>
      <x:c r="F282" s="25" t="n">
        <x:v>1</x:v>
      </x:c>
      <x:c r="G282" s="25" t="n">
        <x:v>12</x:v>
      </x:c>
      <x:c r="H282" s="26" t="str">
        <x:v>Solar Candy Cane Path Stakes 4pk</x:v>
      </x:c>
      <x:c r="I282" s="26" t="str">
        <x:v>Christmas Lighting 2026</x:v>
      </x:c>
      <x:c r="J282" s="26" t="str">
        <x:v>SKU精确匹配</x:v>
      </x:c>
    </x:row>
    <x:row r="283">
      <x:c r="A283" s="24" t="str">
        <x:v>HB ROBINSON ROAD</x:v>
      </x:c>
      <x:c r="B283" s="24" t="str">
        <x:v>21</x:v>
      </x:c>
      <x:c r="C283" s="24" t="str">
        <x:v>圣诞普通商品</x:v>
      </x:c>
      <x:c r="D283" s="24" t="str">
        <x:v>花材与枝叶</x:v>
      </x:c>
      <x:c r="E283" s="25" t="n">
        <x:v>5</x:v>
      </x:c>
      <x:c r="F283" s="25" t="n">
        <x:v>7</x:v>
      </x:c>
      <x:c r="G283" s="25" t="n">
        <x:v>192</x:v>
      </x:c>
      <x:c r="H283" s="26" t="str">
        <x:v>Poinsettia Glitter Clip Asst；Holly &amp; Berries Garland 2.7m；Garland Mini Holly 150cm Asst</x:v>
      </x:c>
      <x:c r="I283" s="26" t="str">
        <x:v>Christmas General 2026</x:v>
      </x:c>
      <x:c r="J283" s="26" t="str">
        <x:v>SKU精确匹配</x:v>
      </x:c>
    </x:row>
    <x:row r="284">
      <x:c r="A284" s="24" t="str">
        <x:v>HB ROBINSON ROAD</x:v>
      </x:c>
      <x:c r="B284" s="24" t="str">
        <x:v>21</x:v>
      </x:c>
      <x:c r="C284" s="24" t="str">
        <x:v>圣诞普通商品</x:v>
      </x:c>
      <x:c r="D284" s="24" t="str">
        <x:v>桌面装饰</x:v>
      </x:c>
      <x:c r="E284" s="25" t="n">
        <x:v>6</x:v>
      </x:c>
      <x:c r="F284" s="25" t="n">
        <x:v>6</x:v>
      </x:c>
      <x:c r="G284" s="25" t="n">
        <x:v>150</x:v>
      </x:c>
      <x:c r="H284" s="26" t="str">
        <x:v>Tree Topper Star 20cm Asst；LED Micro Wire Flicker Pillar Candle B/OP；Santa Waterball 45mm Asst</x:v>
      </x:c>
      <x:c r="I284" s="26" t="str">
        <x:v>Christmas General 2026</x:v>
      </x:c>
      <x:c r="J284" s="26" t="str">
        <x:v>SKU精确匹配</x:v>
      </x:c>
    </x:row>
    <x:row r="285">
      <x:c r="A285" s="24" t="str">
        <x:v>HB ROBINSON ROAD</x:v>
      </x:c>
      <x:c r="B285" s="24" t="str">
        <x:v>21</x:v>
      </x:c>
      <x:c r="C285" s="24" t="str">
        <x:v>圣诞普通商品</x:v>
      </x:c>
      <x:c r="D285" s="24" t="str">
        <x:v>铃铛</x:v>
      </x:c>
      <x:c r="E285" s="25" t="n">
        <x:v>6</x:v>
      </x:c>
      <x:c r="F285" s="25" t="n">
        <x:v>6</x:v>
      </x:c>
      <x:c r="G285" s="25" t="n">
        <x:v>126</x:v>
      </x:c>
      <x:c r="H285" s="26" t="str">
        <x:v>Nutbells Pack Mega Mix Asst；Hanging Nutbell Berry Deco 8cm Asst；Hanging Bell Candystripe Bow 8cm Asst</x:v>
      </x:c>
      <x:c r="I285" s="26" t="str">
        <x:v>Christmas General 2026</x:v>
      </x:c>
      <x:c r="J285" s="26" t="str">
        <x:v>SKU精确匹配</x:v>
      </x:c>
    </x:row>
    <x:row r="286">
      <x:c r="A286" s="24" t="str">
        <x:v>HB ROBINSON ROAD</x:v>
      </x:c>
      <x:c r="B286" s="24" t="str">
        <x:v>21</x:v>
      </x:c>
      <x:c r="C286" s="24" t="str">
        <x:v>圣诞普通商品</x:v>
      </x:c>
      <x:c r="D286" s="24" t="str">
        <x:v>糖果手杖主题</x:v>
      </x:c>
      <x:c r="E286" s="25" t="n">
        <x:v>3</x:v>
      </x:c>
      <x:c r="F286" s="25" t="n">
        <x:v>3</x:v>
      </x:c>
      <x:c r="G286" s="25" t="n">
        <x:v>108</x:v>
      </x:c>
      <x:c r="H286" s="26" t="str">
        <x:v>Hanging Gingerbread House 10cm Asst；Hanging Metal Mini Sign Asst；Candycane Ribbed Baubles 60mm 6pk</x:v>
      </x:c>
      <x:c r="I286" s="26" t="str">
        <x:v>Christmas General 2026</x:v>
      </x:c>
      <x:c r="J286" s="26" t="str">
        <x:v>SKU精确匹配</x:v>
      </x:c>
    </x:row>
    <x:row r="287">
      <x:c r="A287" s="24" t="str">
        <x:v>HB ROBINSON ROAD</x:v>
      </x:c>
      <x:c r="B287" s="24" t="str">
        <x:v>21</x:v>
      </x:c>
      <x:c r="C287" s="24" t="str">
        <x:v>圣诞普通商品</x:v>
      </x:c>
      <x:c r="D287" s="24" t="str">
        <x:v>厨房用品</x:v>
      </x:c>
      <x:c r="E287" s="25" t="n">
        <x:v>1</x:v>
      </x:c>
      <x:c r="F287" s="25" t="n">
        <x:v>2</x:v>
      </x:c>
      <x:c r="G287" s="25" t="n">
        <x:v>96</x:v>
      </x:c>
      <x:c r="H287" s="26" t="str">
        <x:v>Tea Towel Print Asst</x:v>
      </x:c>
      <x:c r="I287" s="26" t="str">
        <x:v>Christmas General 2026</x:v>
      </x:c>
      <x:c r="J287" s="26" t="str">
        <x:v>SKU精确匹配</x:v>
      </x:c>
    </x:row>
    <x:row r="288">
      <x:c r="A288" s="24" t="str">
        <x:v>HB ROBINSON ROAD</x:v>
      </x:c>
      <x:c r="B288" s="24" t="str">
        <x:v>21</x:v>
      </x:c>
      <x:c r="C288" s="24" t="str">
        <x:v>圣诞普通商品</x:v>
      </x:c>
      <x:c r="D288" s="24" t="str">
        <x:v>墙面装饰</x:v>
      </x:c>
      <x:c r="E288" s="25" t="n">
        <x:v>1</x:v>
      </x:c>
      <x:c r="F288" s="25" t="n">
        <x:v>2</x:v>
      </x:c>
      <x:c r="G288" s="25" t="n">
        <x:v>24</x:v>
      </x:c>
      <x:c r="H288" s="26" t="str">
        <x:v>Christmas Giant Selfie Frame</x:v>
      </x:c>
      <x:c r="I288" s="26" t="str">
        <x:v>Christmas General 2026</x:v>
      </x:c>
      <x:c r="J288" s="26" t="str">
        <x:v>SKU精确匹配</x:v>
      </x:c>
    </x:row>
    <x:row r="289">
      <x:c r="A289" s="24" t="str">
        <x:v>HB ROBINSON ROAD</x:v>
      </x:c>
      <x:c r="B289" s="24" t="str">
        <x:v>21</x:v>
      </x:c>
      <x:c r="C289" s="24" t="str">
        <x:v>圣诞普通商品</x:v>
      </x:c>
      <x:c r="D289" s="24" t="str">
        <x:v>纺织品</x:v>
      </x:c>
      <x:c r="E289" s="25" t="n">
        <x:v>1</x:v>
      </x:c>
      <x:c r="F289" s="25" t="n">
        <x:v>1</x:v>
      </x:c>
      <x:c r="G289" s="25" t="n">
        <x:v>48</x:v>
      </x:c>
      <x:c r="H289" s="26" t="str">
        <x:v>Table Runner Printed 183cm Asst</x:v>
      </x:c>
      <x:c r="I289" s="26" t="str">
        <x:v>Christmas General 2026</x:v>
      </x:c>
      <x:c r="J289" s="26" t="str">
        <x:v>SKU精确匹配</x:v>
      </x:c>
    </x:row>
    <x:row r="290">
      <x:c r="A290" s="24" t="str">
        <x:v>HB ROBINSON ROAD</x:v>
      </x:c>
      <x:c r="B290" s="24" t="str">
        <x:v>21</x:v>
      </x:c>
      <x:c r="C290" s="24" t="str">
        <x:v>圣诞灯饰</x:v>
      </x:c>
      <x:c r="D290" s="24" t="str">
        <x:v>太阳能灯饰</x:v>
      </x:c>
      <x:c r="E290" s="25" t="n">
        <x:v>1</x:v>
      </x:c>
      <x:c r="F290" s="25" t="n">
        <x:v>3</x:v>
      </x:c>
      <x:c r="G290" s="25" t="n">
        <x:v>36</x:v>
      </x:c>
      <x:c r="H290" s="26" t="str">
        <x:v>Solar Mini Candy Cane Path Lghts 8pk</x:v>
      </x:c>
      <x:c r="I290" s="26" t="str">
        <x:v>Christmas Lighting 2026</x:v>
      </x:c>
      <x:c r="J290" s="26" t="str">
        <x:v>SKU精确匹配</x:v>
      </x:c>
    </x:row>
    <x:row r="291">
      <x:c r="A291" s="24" t="str">
        <x:v>HB ROBINSON ROAD</x:v>
      </x:c>
      <x:c r="B291" s="24" t="str">
        <x:v>21</x:v>
      </x:c>
      <x:c r="C291" s="24" t="str">
        <x:v>圣诞灯饰</x:v>
      </x:c>
      <x:c r="D291" s="24" t="str">
        <x:v>基础 LED 灯串</x:v>
      </x:c>
      <x:c r="E291" s="25" t="n">
        <x:v>1</x:v>
      </x:c>
      <x:c r="F291" s="25" t="n">
        <x:v>1</x:v>
      </x:c>
      <x:c r="G291" s="25" t="n">
        <x:v>6</x:v>
      </x:c>
      <x:c r="H291" s="26" t="str">
        <x:v>LED Fairy Lights 1000 w/Reel 5 Colour Funtime</x:v>
      </x:c>
      <x:c r="I291" s="26" t="str">
        <x:v>Christmas Lighting 2026</x:v>
      </x:c>
      <x:c r="J291" s="26" t="str">
        <x:v>SKU精确匹配</x:v>
      </x:c>
    </x:row>
    <x:row r="292">
      <x:c r="A292" s="24" t="str">
        <x:v>HB ROBINSON ROAD</x:v>
      </x:c>
      <x:c r="B292" s="24" t="str">
        <x:v>Loose</x:v>
      </x:c>
      <x:c r="C292" s="24" t="str">
        <x:v>圣诞普通商品</x:v>
      </x:c>
      <x:c r="D292" s="24" t="str">
        <x:v>花材与枝叶</x:v>
      </x:c>
      <x:c r="E292" s="25" t="n">
        <x:v>1</x:v>
      </x:c>
      <x:c r="F292" s="25" t="n">
        <x:v>1</x:v>
      </x:c>
      <x:c r="G292" s="25" t="n">
        <x:v>36</x:v>
      </x:c>
      <x:c r="H292" s="26" t="str">
        <x:v>Metallic Draping Spray 134cm Asst</x:v>
      </x:c>
      <x:c r="I292" s="26" t="str">
        <x:v>Christmas General 2026</x:v>
      </x:c>
      <x:c r="J292" s="26" t="str">
        <x:v>SKU精确匹配</x:v>
      </x:c>
    </x:row>
    <x:row r="293">
      <x:c r="A293" s="24" t="str">
        <x:v>HB SOUTHPORT PARK</x:v>
      </x:c>
      <x:c r="B293" s="24" t="str">
        <x:v>17</x:v>
      </x:c>
      <x:c r="C293" s="24" t="str">
        <x:v>圣诞普通商品</x:v>
      </x:c>
      <x:c r="D293" s="24" t="str">
        <x:v>铃铛</x:v>
      </x:c>
      <x:c r="E293" s="25" t="n">
        <x:v>9</x:v>
      </x:c>
      <x:c r="F293" s="25" t="n">
        <x:v>15</x:v>
      </x:c>
      <x:c r="G293" s="25" t="n">
        <x:v>236</x:v>
      </x:c>
      <x:c r="H293" s="26" t="str">
        <x:v>Tinsel Bell-Bulbs Hanger 30cm Asst；Nutbells Hanger with Bow 30cm Asst；Mini Nutbells Door Hanger 20cm Asst</x:v>
      </x:c>
      <x:c r="I293" s="26" t="str">
        <x:v>Christmas General 2026</x:v>
      </x:c>
      <x:c r="J293" s="26" t="str">
        <x:v>SKU精确匹配</x:v>
      </x:c>
    </x:row>
    <x:row r="294">
      <x:c r="A294" s="24" t="str">
        <x:v>HB SOUTHPORT PARK</x:v>
      </x:c>
      <x:c r="B294" s="24" t="str">
        <x:v>17</x:v>
      </x:c>
      <x:c r="C294" s="24" t="str">
        <x:v>圣诞普通商品</x:v>
      </x:c>
      <x:c r="D294" s="24" t="str">
        <x:v>花材与枝叶</x:v>
      </x:c>
      <x:c r="E294" s="25" t="n">
        <x:v>9</x:v>
      </x:c>
      <x:c r="F294" s="25" t="n">
        <x:v>13</x:v>
      </x:c>
      <x:c r="G294" s="25" t="n">
        <x:v>360</x:v>
      </x:c>
      <x:c r="H294" s="26" t="str">
        <x:v>Poinsettia Glitter Clip Asst；Garland Mini Holly 150cm Asst；Foliage Berry Hanger with Bow Asst</x:v>
      </x:c>
      <x:c r="I294" s="26" t="str">
        <x:v>Christmas General 2026</x:v>
      </x:c>
      <x:c r="J294" s="26" t="str">
        <x:v>SKU精确匹配</x:v>
      </x:c>
    </x:row>
    <x:row r="295">
      <x:c r="A295" s="24" t="str">
        <x:v>HB SOUTHPORT PARK</x:v>
      </x:c>
      <x:c r="B295" s="24" t="str">
        <x:v>17</x:v>
      </x:c>
      <x:c r="C295" s="24" t="str">
        <x:v>圣诞普通商品</x:v>
      </x:c>
      <x:c r="D295" s="24" t="str">
        <x:v>桌面装饰</x:v>
      </x:c>
      <x:c r="E295" s="25" t="n">
        <x:v>6</x:v>
      </x:c>
      <x:c r="F295" s="25" t="n">
        <x:v>13</x:v>
      </x:c>
      <x:c r="G295" s="25" t="n">
        <x:v>312</x:v>
      </x:c>
      <x:c r="H295" s="26" t="str">
        <x:v>Mini Star Topper 13cm Asst；Tree Topper Star 20cm Asst；LED Micro Wire Flicker Pillar Candle B/OP</x:v>
      </x:c>
      <x:c r="I295" s="26" t="str">
        <x:v>Christmas General 2026</x:v>
      </x:c>
      <x:c r="J295" s="26" t="str">
        <x:v>SKU精确匹配</x:v>
      </x:c>
    </x:row>
    <x:row r="296">
      <x:c r="A296" s="24" t="str">
        <x:v>HB SOUTHPORT PARK</x:v>
      </x:c>
      <x:c r="B296" s="24" t="str">
        <x:v>17</x:v>
      </x:c>
      <x:c r="C296" s="24" t="str">
        <x:v>圣诞普通商品</x:v>
      </x:c>
      <x:c r="D296" s="24" t="str">
        <x:v>厨房用品</x:v>
      </x:c>
      <x:c r="E296" s="25" t="n">
        <x:v>6</x:v>
      </x:c>
      <x:c r="F296" s="25" t="n">
        <x:v>11</x:v>
      </x:c>
      <x:c r="G296" s="25" t="n">
        <x:v>336</x:v>
      </x:c>
      <x:c r="H296" s="26" t="str">
        <x:v>Tea Towel Print Asst；Cotton Tea Towel Asst；Christmas Tea Towel 2pk Asst</x:v>
      </x:c>
      <x:c r="I296" s="26" t="str">
        <x:v>Christmas General 2026</x:v>
      </x:c>
      <x:c r="J296" s="26" t="str">
        <x:v>SKU精确匹配</x:v>
      </x:c>
    </x:row>
    <x:row r="297">
      <x:c r="A297" s="24" t="str">
        <x:v>HB SOUTHPORT PARK</x:v>
      </x:c>
      <x:c r="B297" s="24" t="str">
        <x:v>17</x:v>
      </x:c>
      <x:c r="C297" s="24" t="str">
        <x:v>圣诞普通商品</x:v>
      </x:c>
      <x:c r="D297" s="24" t="str">
        <x:v>纺织品</x:v>
      </x:c>
      <x:c r="E297" s="25" t="n">
        <x:v>4</x:v>
      </x:c>
      <x:c r="F297" s="25" t="n">
        <x:v>4</x:v>
      </x:c>
      <x:c r="G297" s="25" t="n">
        <x:v>108</x:v>
      </x:c>
      <x:c r="H297" s="26" t="str">
        <x:v>Table Runner Printed 183cm Asst；Tablecloth Printed 132x228cm Asst；Table Cloth Damask 150x225cm Asst</x:v>
      </x:c>
      <x:c r="I297" s="26" t="str">
        <x:v>Christmas General 2026</x:v>
      </x:c>
      <x:c r="J297" s="26" t="str">
        <x:v>SKU精确匹配</x:v>
      </x:c>
    </x:row>
    <x:row r="298">
      <x:c r="A298" s="24" t="str">
        <x:v>HB SOUTHPORT PARK</x:v>
      </x:c>
      <x:c r="B298" s="24" t="str">
        <x:v>17</x:v>
      </x:c>
      <x:c r="C298" s="24" t="str">
        <x:v>圣诞普通商品</x:v>
      </x:c>
      <x:c r="D298" s="24" t="str">
        <x:v>圣诞树挂饰</x:v>
      </x:c>
      <x:c r="E298" s="25" t="n">
        <x:v>4</x:v>
      </x:c>
      <x:c r="F298" s="25" t="n">
        <x:v>4</x:v>
      </x:c>
      <x:c r="G298" s="25" t="n">
        <x:v>108</x:v>
      </x:c>
      <x:c r="H298" s="26" t="str">
        <x:v>Hanging Colourful Dinosaur Asst；Hanging Snowflake Drop 14cm Asst；Hanging Fairy Glitter Wings 14cm Asst</x:v>
      </x:c>
      <x:c r="I298" s="26" t="str">
        <x:v>Christmas General 2026</x:v>
      </x:c>
      <x:c r="J298" s="26" t="str">
        <x:v>SKU精确匹配</x:v>
      </x:c>
    </x:row>
    <x:row r="299">
      <x:c r="A299" s="24" t="str">
        <x:v>HB SOUTHPORT PARK</x:v>
      </x:c>
      <x:c r="B299" s="24" t="str">
        <x:v>17</x:v>
      </x:c>
      <x:c r="C299" s="24" t="str">
        <x:v>圣诞普通商品</x:v>
      </x:c>
      <x:c r="D299" s="24" t="str">
        <x:v>糖果手杖主题</x:v>
      </x:c>
      <x:c r="E299" s="25" t="n">
        <x:v>3</x:v>
      </x:c>
      <x:c r="F299" s="25" t="n">
        <x:v>4</x:v>
      </x:c>
      <x:c r="G299" s="25" t="n">
        <x:v>80</x:v>
      </x:c>
      <x:c r="H299" s="26" t="str">
        <x:v>Candycane Ribbed Baubles 60mm 6pk；Hanging Sweet Gingerbread 12cm Asst；Candy Waffle Train Deco Asst</x:v>
      </x:c>
      <x:c r="I299" s="26" t="str">
        <x:v>Christmas General 2026</x:v>
      </x:c>
      <x:c r="J299" s="26" t="str">
        <x:v>SKU精确匹配</x:v>
      </x:c>
    </x:row>
    <x:row r="300">
      <x:c r="A300" s="24" t="str">
        <x:v>HB SOUTHPORT PARK</x:v>
      </x:c>
      <x:c r="B300" s="24" t="str">
        <x:v>17</x:v>
      </x:c>
      <x:c r="C300" s="24" t="str">
        <x:v>圣诞普通商品</x:v>
      </x:c>
      <x:c r="D300" s="24" t="str">
        <x:v>奢华传统主题</x:v>
      </x:c>
      <x:c r="E300" s="25" t="n">
        <x:v>3</x:v>
      </x:c>
      <x:c r="F300" s="25" t="n">
        <x:v>3</x:v>
      </x:c>
      <x:c r="G300" s="25" t="n">
        <x:v>72</x:v>
      </x:c>
      <x:c r="H300" s="26" t="str">
        <x:v>Bauble Tartan 80mm Asst；Bauble Glitter Lattice 10cm Asst；Bauble Shiny Honeycomb 15cm Asst</x:v>
      </x:c>
      <x:c r="I300" s="26" t="str">
        <x:v>Christmas General 2026</x:v>
      </x:c>
      <x:c r="J300" s="26" t="str">
        <x:v>SKU精确匹配</x:v>
      </x:c>
    </x:row>
    <x:row r="301">
      <x:c r="A301" s="24" t="str">
        <x:v>HB SOUTHPORT PARK</x:v>
      </x:c>
      <x:c r="B301" s="24" t="str">
        <x:v>17</x:v>
      </x:c>
      <x:c r="C301" s="24" t="str">
        <x:v>圣诞普通商品</x:v>
      </x:c>
      <x:c r="D301" s="24" t="str">
        <x:v>林地丝绒主题</x:v>
      </x:c>
      <x:c r="E301" s="25" t="n">
        <x:v>2</x:v>
      </x:c>
      <x:c r="F301" s="25" t="n">
        <x:v>2</x:v>
      </x:c>
      <x:c r="G301" s="25" t="n">
        <x:v>60</x:v>
      </x:c>
      <x:c r="H301" s="26" t="str">
        <x:v>Velvet Ribbon Bow Clip 4pk Asst；Flocked Multi Berry Pick 60cm Asst</x:v>
      </x:c>
      <x:c r="I301" s="26" t="str">
        <x:v>Christmas General 2026</x:v>
      </x:c>
      <x:c r="J301" s="26" t="str">
        <x:v>SKU精确匹配</x:v>
      </x:c>
    </x:row>
    <x:row r="302">
      <x:c r="A302" s="24" t="str">
        <x:v>HB SOUTHPORT PARK</x:v>
      </x:c>
      <x:c r="B302" s="24" t="str">
        <x:v>17</x:v>
      </x:c>
      <x:c r="C302" s="24" t="str">
        <x:v>圣诞普通商品</x:v>
      </x:c>
      <x:c r="D302" s="24" t="str">
        <x:v>节日趣味商品</x:v>
      </x:c>
      <x:c r="E302" s="25" t="n">
        <x:v>2</x:v>
      </x:c>
      <x:c r="F302" s="25" t="n">
        <x:v>2</x:v>
      </x:c>
      <x:c r="G302" s="25" t="n">
        <x:v>30</x:v>
      </x:c>
      <x:c r="H302" s="26" t="str">
        <x:v>Christmas Plush Pal SRT Asst；Soft Plush Sitting Dog 24cm</x:v>
      </x:c>
      <x:c r="I302" s="26" t="str">
        <x:v>Christmas General 2026</x:v>
      </x:c>
      <x:c r="J302" s="26" t="str">
        <x:v>SKU精确匹配</x:v>
      </x:c>
    </x:row>
    <x:row r="303">
      <x:c r="A303" s="24" t="str">
        <x:v>HB SOUTHPORT PARK</x:v>
      </x:c>
      <x:c r="B303" s="24" t="str">
        <x:v>17</x:v>
      </x:c>
      <x:c r="C303" s="24" t="str">
        <x:v>圣诞普通商品</x:v>
      </x:c>
      <x:c r="D303" s="24" t="str">
        <x:v>午夜蓝主题</x:v>
      </x:c>
      <x:c r="E303" s="25" t="n">
        <x:v>1</x:v>
      </x:c>
      <x:c r="F303" s="25" t="n">
        <x:v>1</x:v>
      </x:c>
      <x:c r="G303" s="25" t="n">
        <x:v>36</x:v>
      </x:c>
      <x:c r="H303" s="26" t="str">
        <x:v>Bauble Matte Diamond Blue 70mm Asst</x:v>
      </x:c>
      <x:c r="I303" s="26" t="str">
        <x:v>Christmas General 2026</x:v>
      </x:c>
      <x:c r="J303" s="26" t="str">
        <x:v>SKU精确匹配</x:v>
      </x:c>
    </x:row>
    <x:row r="304">
      <x:c r="A304" s="24" t="str">
        <x:v>HB SOUTHPORT PARK</x:v>
      </x:c>
      <x:c r="B304" s="24" t="str">
        <x:v>17</x:v>
      </x:c>
      <x:c r="C304" s="24" t="str">
        <x:v>圣诞普通商品</x:v>
      </x:c>
      <x:c r="D304" s="24" t="str">
        <x:v>粉彩花园主题</x:v>
      </x:c>
      <x:c r="E304" s="25" t="n">
        <x:v>1</x:v>
      </x:c>
      <x:c r="F304" s="25" t="n">
        <x:v>1</x:v>
      </x:c>
      <x:c r="G304" s="25" t="n">
        <x:v>36</x:v>
      </x:c>
      <x:c r="H304" s="26" t="str">
        <x:v>Bauble Shiny Diamond Pastel 70mm Asst</x:v>
      </x:c>
      <x:c r="I304" s="26" t="str">
        <x:v>Christmas General 2026</x:v>
      </x:c>
      <x:c r="J304" s="26" t="str">
        <x:v>SKU精确匹配</x:v>
      </x:c>
    </x:row>
    <x:row r="305">
      <x:c r="A305" s="24" t="str">
        <x:v>HB SOUTHPORT PARK</x:v>
      </x:c>
      <x:c r="B305" s="24" t="str">
        <x:v>17</x:v>
      </x:c>
      <x:c r="C305" s="24" t="str">
        <x:v>圣诞普通商品</x:v>
      </x:c>
      <x:c r="D305" s="24" t="str">
        <x:v>墙面装饰</x:v>
      </x:c>
      <x:c r="E305" s="25" t="n">
        <x:v>1</x:v>
      </x:c>
      <x:c r="F305" s="25" t="n">
        <x:v>1</x:v>
      </x:c>
      <x:c r="G305" s="25" t="n">
        <x:v>24</x:v>
      </x:c>
      <x:c r="H305" s="26" t="str">
        <x:v>Santa Eva Plaque</x:v>
      </x:c>
      <x:c r="I305" s="26" t="str">
        <x:v>Christmas General 2026</x:v>
      </x:c>
      <x:c r="J305" s="26" t="str">
        <x:v>SKU精确匹配</x:v>
      </x:c>
    </x:row>
    <x:row r="306">
      <x:c r="A306" s="24" t="str">
        <x:v>HB SOUTHPORT PARK</x:v>
      </x:c>
      <x:c r="B306" s="24" t="str">
        <x:v>17</x:v>
      </x:c>
      <x:c r="C306" s="24" t="str">
        <x:v>圣诞灯饰</x:v>
      </x:c>
      <x:c r="D306" s="24" t="str">
        <x:v>太阳能灯饰</x:v>
      </x:c>
      <x:c r="E306" s="25" t="n">
        <x:v>11</x:v>
      </x:c>
      <x:c r="F306" s="25" t="n">
        <x:v>13</x:v>
      </x:c>
      <x:c r="G306" s="25" t="n">
        <x:v>156</x:v>
      </x:c>
      <x:c r="H306" s="26" t="str">
        <x:v>Solar Character Path Stakes 6pk；Solar LED Path Lollipops 5pk Asst；Solar LED Tealite Candle SRT</x:v>
      </x:c>
      <x:c r="I306" s="26" t="str">
        <x:v>Christmas Lighting 2026</x:v>
      </x:c>
      <x:c r="J306" s="26" t="str">
        <x:v>SKU精确匹配</x:v>
      </x:c>
    </x:row>
    <x:row r="307">
      <x:c r="A307" s="24" t="str">
        <x:v>HB SOUTHPORT PARK</x:v>
      </x:c>
      <x:c r="B307" s="24" t="str">
        <x:v>17</x:v>
      </x:c>
      <x:c r="C307" s="24" t="str">
        <x:v>圣诞灯饰</x:v>
      </x:c>
      <x:c r="D307" s="24" t="str">
        <x:v>创意灯饰</x:v>
      </x:c>
      <x:c r="E307" s="25" t="n">
        <x:v>5</x:v>
      </x:c>
      <x:c r="F307" s="25" t="n">
        <x:v>6</x:v>
      </x:c>
      <x:c r="G307" s="25" t="n">
        <x:v>48</x:v>
      </x:c>
      <x:c r="H307" s="26" t="str">
        <x:v>Nativity Star Curtain Light Multi Col；LED Dew Drop Star Curtain Gold；LED Dew Drop Star Curtain Multi Colour</x:v>
      </x:c>
      <x:c r="I307" s="26" t="str">
        <x:v>Christmas Lighting 2026</x:v>
      </x:c>
      <x:c r="J307" s="26" t="str">
        <x:v>SKU精确匹配</x:v>
      </x:c>
    </x:row>
    <x:row r="308">
      <x:c r="A308" s="24" t="str">
        <x:v>HB SOUTHPORT PARK</x:v>
      </x:c>
      <x:c r="B308" s="24" t="str">
        <x:v>17</x:v>
      </x:c>
      <x:c r="C308" s="24" t="str">
        <x:v>圣诞灯饰</x:v>
      </x:c>
      <x:c r="D308" s="24" t="str">
        <x:v>庭院灯饰</x:v>
      </x:c>
      <x:c r="E308" s="25" t="n">
        <x:v>1</x:v>
      </x:c>
      <x:c r="F308" s="25" t="n">
        <x:v>1</x:v>
      </x:c>
      <x:c r="G308" s="25" t="n">
        <x:v>4</x:v>
      </x:c>
      <x:c r="H308" s="26" t="str">
        <x:v>Lit Picket Fence 8pk Warm White</x:v>
      </x:c>
      <x:c r="I308" s="26" t="str">
        <x:v>Christmas Lighting 2026</x:v>
      </x:c>
      <x:c r="J308" s="26" t="str">
        <x:v>SKU精确匹配</x:v>
      </x:c>
    </x:row>
    <x:row r="309">
      <x:c r="A309" s="24" t="str">
        <x:v>HB SOUTHPORT PARK</x:v>
      </x:c>
      <x:c r="B309" s="24" t="str">
        <x:v>Loose</x:v>
      </x:c>
      <x:c r="C309" s="24" t="str">
        <x:v>圣诞普通商品</x:v>
      </x:c>
      <x:c r="D309" s="24" t="str">
        <x:v>墙面装饰</x:v>
      </x:c>
      <x:c r="E309" s="25" t="n">
        <x:v>1</x:v>
      </x:c>
      <x:c r="F309" s="25" t="n">
        <x:v>3</x:v>
      </x:c>
      <x:c r="G309" s="25" t="n">
        <x:v>36</x:v>
      </x:c>
      <x:c r="H309" s="26" t="str">
        <x:v>Christmas Giant Selfie Frame</x:v>
      </x:c>
      <x:c r="I309" s="26" t="str">
        <x:v>Christmas General 2026</x:v>
      </x:c>
      <x:c r="J309" s="26" t="str">
        <x:v>SKU精确匹配</x:v>
      </x:c>
    </x:row>
    <x:row r="310">
      <x:c r="A310" s="24" t="str">
        <x:v>HB SOUTHPORT PARK</x:v>
      </x:c>
      <x:c r="B310" s="24" t="str">
        <x:v>Loose</x:v>
      </x:c>
      <x:c r="C310" s="24" t="str">
        <x:v>圣诞普通商品</x:v>
      </x:c>
      <x:c r="D310" s="24" t="str">
        <x:v>午夜蓝主题</x:v>
      </x:c>
      <x:c r="E310" s="25" t="n">
        <x:v>1</x:v>
      </x:c>
      <x:c r="F310" s="25" t="n">
        <x:v>1</x:v>
      </x:c>
      <x:c r="G310" s="25" t="n">
        <x:v>24</x:v>
      </x:c>
      <x:c r="H310" s="26" t="str">
        <x:v>Honeycomb Lantern 13cm Asst</x:v>
      </x:c>
      <x:c r="I310" s="26" t="str">
        <x:v>Christmas General 2026</x:v>
      </x:c>
      <x:c r="J310" s="26" t="str">
        <x:v>SKU精确匹配</x:v>
      </x:c>
    </x:row>
    <x:row r="311">
      <x:c r="A311" s="24" t="str">
        <x:v>HB SOUTHPORT PARK</x:v>
      </x:c>
      <x:c r="B311" s="24" t="str">
        <x:v>Loose</x:v>
      </x:c>
      <x:c r="C311" s="24" t="str">
        <x:v>圣诞普通商品</x:v>
      </x:c>
      <x:c r="D311" s="24" t="str">
        <x:v>林地丝绒主题</x:v>
      </x:c>
      <x:c r="E311" s="25" t="n">
        <x:v>1</x:v>
      </x:c>
      <x:c r="F311" s="25" t="n">
        <x:v>1</x:v>
      </x:c>
      <x:c r="G311" s="25" t="n">
        <x:v>6</x:v>
      </x:c>
      <x:c r="H311" s="26" t="str">
        <x:v>Santa Figurine Rich Burgundy 60cm</x:v>
      </x:c>
      <x:c r="I311" s="26" t="str">
        <x:v>Christmas General 2026</x:v>
      </x:c>
      <x:c r="J311" s="26" t="str">
        <x:v>SKU精确匹配</x:v>
      </x:c>
    </x:row>
    <x:row r="312">
      <x:c r="A312" s="24" t="str">
        <x:v>HB SPRINGFIELD</x:v>
      </x:c>
      <x:c r="B312" s="24" t="str">
        <x:v>7</x:v>
      </x:c>
      <x:c r="C312" s="24" t="str">
        <x:v>圣诞普通商品</x:v>
      </x:c>
      <x:c r="D312" s="24" t="str">
        <x:v>铃铛</x:v>
      </x:c>
      <x:c r="E312" s="25" t="n">
        <x:v>4</x:v>
      </x:c>
      <x:c r="F312" s="25" t="n">
        <x:v>22</x:v>
      </x:c>
      <x:c r="G312" s="25" t="n">
        <x:v>312</x:v>
      </x:c>
      <x:c r="H312" s="26" t="str">
        <x:v>Triple Bells Hanger Berry Deco 40cm Asst；Twin Bells Hanger Striped Bow Asst；Nutbells Pack Mega Mix Asst</x:v>
      </x:c>
      <x:c r="I312" s="26" t="str">
        <x:v>Christmas General 2026</x:v>
      </x:c>
      <x:c r="J312" s="26" t="str">
        <x:v>SKU精确匹配</x:v>
      </x:c>
    </x:row>
    <x:row r="313">
      <x:c r="A313" s="24" t="str">
        <x:v>HB SPRINGFIELD</x:v>
      </x:c>
      <x:c r="B313" s="24" t="str">
        <x:v>7</x:v>
      </x:c>
      <x:c r="C313" s="24" t="str">
        <x:v>圣诞普通商品</x:v>
      </x:c>
      <x:c r="D313" s="24" t="str">
        <x:v>奢华传统主题</x:v>
      </x:c>
      <x:c r="E313" s="25" t="n">
        <x:v>2</x:v>
      </x:c>
      <x:c r="F313" s="25" t="n">
        <x:v>9</x:v>
      </x:c>
      <x:c r="G313" s="25" t="n">
        <x:v>204</x:v>
      </x:c>
      <x:c r="H313" s="26" t="str">
        <x:v>Bauble Shiny Honeycomb 15cm Asst；Bauble Tartan 80mm Asst</x:v>
      </x:c>
      <x:c r="I313" s="26" t="str">
        <x:v>Christmas General 2026</x:v>
      </x:c>
      <x:c r="J313" s="26" t="str">
        <x:v>SKU精确匹配</x:v>
      </x:c>
    </x:row>
    <x:row r="314">
      <x:c r="A314" s="24" t="str">
        <x:v>HB SPRINGFIELD</x:v>
      </x:c>
      <x:c r="B314" s="24" t="str">
        <x:v>7</x:v>
      </x:c>
      <x:c r="C314" s="24" t="str">
        <x:v>圣诞普通商品</x:v>
      </x:c>
      <x:c r="D314" s="24" t="str">
        <x:v>糖果手杖主题</x:v>
      </x:c>
      <x:c r="E314" s="25" t="n">
        <x:v>3</x:v>
      </x:c>
      <x:c r="F314" s="25" t="n">
        <x:v>6</x:v>
      </x:c>
      <x:c r="G314" s="25" t="n">
        <x:v>144</x:v>
      </x:c>
      <x:c r="H314" s="26" t="str">
        <x:v>Double Bow Flocked Candy Stripe；Candycane Ribbed Baubles 60mm 6pk；Hanging Sweet Gingerbread 12cm Asst</x:v>
      </x:c>
      <x:c r="I314" s="26" t="str">
        <x:v>Christmas General 2026</x:v>
      </x:c>
      <x:c r="J314" s="26" t="str">
        <x:v>SKU精确匹配</x:v>
      </x:c>
    </x:row>
    <x:row r="315">
      <x:c r="A315" s="24" t="str">
        <x:v>HB SPRINGFIELD</x:v>
      </x:c>
      <x:c r="B315" s="24" t="str">
        <x:v>7</x:v>
      </x:c>
      <x:c r="C315" s="24" t="str">
        <x:v>圣诞普通商品</x:v>
      </x:c>
      <x:c r="D315" s="24" t="str">
        <x:v>圣诞树挂饰</x:v>
      </x:c>
      <x:c r="E315" s="25" t="n">
        <x:v>3</x:v>
      </x:c>
      <x:c r="F315" s="25" t="n">
        <x:v>5</x:v>
      </x:c>
      <x:c r="G315" s="25" t="n">
        <x:v>204</x:v>
      </x:c>
      <x:c r="H315" s="26" t="str">
        <x:v>Hanging Spinning Photo Deco 8cm Asst；Hanging Colourful Dinosaur Asst；Hanging Snowflake Drop 14cm Asst</x:v>
      </x:c>
      <x:c r="I315" s="26" t="str">
        <x:v>Christmas General 2026</x:v>
      </x:c>
      <x:c r="J315" s="26" t="str">
        <x:v>SKU精确匹配</x:v>
      </x:c>
    </x:row>
    <x:row r="316">
      <x:c r="A316" s="24" t="str">
        <x:v>HB SPRINGFIELD</x:v>
      </x:c>
      <x:c r="B316" s="24" t="str">
        <x:v>7</x:v>
      </x:c>
      <x:c r="C316" s="24" t="str">
        <x:v>圣诞普通商品</x:v>
      </x:c>
      <x:c r="D316" s="24" t="str">
        <x:v>桌面装饰</x:v>
      </x:c>
      <x:c r="E316" s="25" t="n">
        <x:v>3</x:v>
      </x:c>
      <x:c r="F316" s="25" t="n">
        <x:v>5</x:v>
      </x:c>
      <x:c r="G316" s="25" t="n">
        <x:v>138</x:v>
      </x:c>
      <x:c r="H316" s="26" t="str">
        <x:v>Tree Topper Star 20cm Asst；Christmas Santa Sleigh Waterball 65mm Asst；Tree Topper Star Metallic 25cm Asst</x:v>
      </x:c>
      <x:c r="I316" s="26" t="str">
        <x:v>Christmas General 2026</x:v>
      </x:c>
      <x:c r="J316" s="26" t="str">
        <x:v>SKU精确匹配</x:v>
      </x:c>
    </x:row>
    <x:row r="317">
      <x:c r="A317" s="24" t="str">
        <x:v>HB SPRINGFIELD</x:v>
      </x:c>
      <x:c r="B317" s="24" t="str">
        <x:v>7</x:v>
      </x:c>
      <x:c r="C317" s="24" t="str">
        <x:v>圣诞普通商品</x:v>
      </x:c>
      <x:c r="D317" s="24" t="str">
        <x:v>厨房用品</x:v>
      </x:c>
      <x:c r="E317" s="25" t="n">
        <x:v>3</x:v>
      </x:c>
      <x:c r="F317" s="25" t="n">
        <x:v>3</x:v>
      </x:c>
      <x:c r="G317" s="25" t="n">
        <x:v>96</x:v>
      </x:c>
      <x:c r="H317" s="26" t="str">
        <x:v>Tea Towel Print Asst；Kitchen Oven Set 2pk Asst；Christmas Bow Felt Placemat 35cm</x:v>
      </x:c>
      <x:c r="I317" s="26" t="str">
        <x:v>Christmas General 2026</x:v>
      </x:c>
      <x:c r="J317" s="26" t="str">
        <x:v>SKU精确匹配</x:v>
      </x:c>
    </x:row>
    <x:row r="318">
      <x:c r="A318" s="24" t="str">
        <x:v>HB SPRINGFIELD</x:v>
      </x:c>
      <x:c r="B318" s="24" t="str">
        <x:v>7</x:v>
      </x:c>
      <x:c r="C318" s="24" t="str">
        <x:v>圣诞普通商品</x:v>
      </x:c>
      <x:c r="D318" s="24" t="str">
        <x:v>纺织品</x:v>
      </x:c>
      <x:c r="E318" s="25" t="n">
        <x:v>1</x:v>
      </x:c>
      <x:c r="F318" s="25" t="n">
        <x:v>2</x:v>
      </x:c>
      <x:c r="G318" s="25" t="n">
        <x:v>48</x:v>
      </x:c>
      <x:c r="H318" s="26" t="str">
        <x:v>Tablecloth Printed 132x228cm Asst</x:v>
      </x:c>
      <x:c r="I318" s="26" t="str">
        <x:v>Christmas General 2026</x:v>
      </x:c>
      <x:c r="J318" s="26" t="str">
        <x:v>SKU精确匹配</x:v>
      </x:c>
    </x:row>
    <x:row r="319">
      <x:c r="A319" s="24" t="str">
        <x:v>HB SPRINGFIELD</x:v>
      </x:c>
      <x:c r="B319" s="24" t="str">
        <x:v>7</x:v>
      </x:c>
      <x:c r="C319" s="24" t="str">
        <x:v>圣诞普通商品</x:v>
      </x:c>
      <x:c r="D319" s="24" t="str">
        <x:v>午夜蓝主题</x:v>
      </x:c>
      <x:c r="E319" s="25" t="n">
        <x:v>1</x:v>
      </x:c>
      <x:c r="F319" s="25" t="n">
        <x:v>1</x:v>
      </x:c>
      <x:c r="G319" s="25" t="n">
        <x:v>36</x:v>
      </x:c>
      <x:c r="H319" s="26" t="str">
        <x:v>Bauble Matte Diamond Blue 70mm Asst</x:v>
      </x:c>
      <x:c r="I319" s="26" t="str">
        <x:v>Christmas General 2026</x:v>
      </x:c>
      <x:c r="J319" s="26" t="str">
        <x:v>SKU精确匹配</x:v>
      </x:c>
    </x:row>
    <x:row r="320">
      <x:c r="A320" s="24" t="str">
        <x:v>HB SPRINGFIELD</x:v>
      </x:c>
      <x:c r="B320" s="24" t="str">
        <x:v>7</x:v>
      </x:c>
      <x:c r="C320" s="24" t="str">
        <x:v>圣诞灯饰</x:v>
      </x:c>
      <x:c r="D320" s="24" t="str">
        <x:v>创意灯饰</x:v>
      </x:c>
      <x:c r="E320" s="25" t="n">
        <x:v>4</x:v>
      </x:c>
      <x:c r="F320" s="25" t="n">
        <x:v>7</x:v>
      </x:c>
      <x:c r="G320" s="25" t="n">
        <x:v>58</x:v>
      </x:c>
      <x:c r="H320" s="26" t="str">
        <x:v>LED Garden Star Cascade 3.5m Multi Colour；Snowflake-Star Curtain Light Warm White；LED Dew Drop Star Curtain Gold</x:v>
      </x:c>
      <x:c r="I320" s="26" t="str">
        <x:v>Christmas Lighting 2026</x:v>
      </x:c>
      <x:c r="J320" s="26" t="str">
        <x:v>SKU精确匹配</x:v>
      </x:c>
    </x:row>
    <x:row r="321">
      <x:c r="A321" s="24" t="str">
        <x:v>HB SPRINGFIELD</x:v>
      </x:c>
      <x:c r="B321" s="24" t="str">
        <x:v>7</x:v>
      </x:c>
      <x:c r="C321" s="24" t="str">
        <x:v>圣诞灯饰</x:v>
      </x:c>
      <x:c r="D321" s="24" t="str">
        <x:v>Infinity/Neon 灯饰</x:v>
      </x:c>
      <x:c r="E321" s="25" t="n">
        <x:v>3</x:v>
      </x:c>
      <x:c r="F321" s="25" t="n">
        <x:v>7</x:v>
      </x:c>
      <x:c r="G321" s="25" t="n">
        <x:v>52</x:v>
      </x:c>
      <x:c r="H321" s="26" t="str">
        <x:v>Infinity Light Tree 40cm；Infinity Light Santa 40cm；Neonflex Light Merry Christmas Hat</x:v>
      </x:c>
      <x:c r="I321" s="26" t="str">
        <x:v>Christmas Lighting 2026</x:v>
      </x:c>
      <x:c r="J321" s="26" t="str">
        <x:v>SKU精确匹配</x:v>
      </x:c>
    </x:row>
    <x:row r="322">
      <x:c r="A322" s="24" t="str">
        <x:v>HB SPRINGFIELD</x:v>
      </x:c>
      <x:c r="B322" s="24" t="str">
        <x:v>7</x:v>
      </x:c>
      <x:c r="C322" s="24" t="str">
        <x:v>圣诞灯饰</x:v>
      </x:c>
      <x:c r="D322" s="24" t="str">
        <x:v>庭院灯饰</x:v>
      </x:c>
      <x:c r="E322" s="25" t="n">
        <x:v>2</x:v>
      </x:c>
      <x:c r="F322" s="25" t="n">
        <x:v>3</x:v>
      </x:c>
      <x:c r="G322" s="25" t="n">
        <x:v>20</x:v>
      </x:c>
      <x:c r="H322" s="26" t="str">
        <x:v>Lit Picket Fence 8pk Warm White；Solar Disco Projector RGB</x:v>
      </x:c>
      <x:c r="I322" s="26" t="str">
        <x:v>Christmas Lighting 2026</x:v>
      </x:c>
      <x:c r="J322" s="26" t="str">
        <x:v>SKU精确匹配</x:v>
      </x:c>
    </x:row>
    <x:row r="323">
      <x:c r="A323" s="24" t="str">
        <x:v>HB SPRINGFIELD</x:v>
      </x:c>
      <x:c r="B323" s="24" t="str">
        <x:v>7</x:v>
      </x:c>
      <x:c r="C323" s="24" t="str">
        <x:v>圣诞灯饰</x:v>
      </x:c>
      <x:c r="D323" s="24" t="str">
        <x:v>图案灯/Motif Lights</x:v>
      </x:c>
      <x:c r="E323" s="25" t="n">
        <x:v>1</x:v>
      </x:c>
      <x:c r="F323" s="25" t="n">
        <x:v>2</x:v>
      </x:c>
      <x:c r="G323" s="25" t="n">
        <x:v>8</x:v>
      </x:c>
      <x:c r="H323" s="26" t="str">
        <x:v>LED Motif Triple Star Multi Colour Twinkle</x:v>
      </x:c>
      <x:c r="I323" s="26" t="str">
        <x:v>Christmas Lighting 2026</x:v>
      </x:c>
      <x:c r="J323" s="26" t="str">
        <x:v>SKU精确匹配</x:v>
      </x:c>
    </x:row>
    <x:row r="324">
      <x:c r="A324" s="24" t="str">
        <x:v>HB SPRINGFIELD</x:v>
      </x:c>
      <x:c r="B324" s="24" t="str">
        <x:v>7</x:v>
      </x:c>
      <x:c r="C324" s="24" t="str">
        <x:v>圣诞灯饰</x:v>
      </x:c>
      <x:c r="D324" s="24" t="str">
        <x:v>太阳能灯饰</x:v>
      </x:c>
      <x:c r="E324" s="25" t="n">
        <x:v>1</x:v>
      </x:c>
      <x:c r="F324" s="25" t="n">
        <x:v>1</x:v>
      </x:c>
      <x:c r="G324" s="25" t="n">
        <x:v>12</x:v>
      </x:c>
      <x:c r="H324" s="26" t="str">
        <x:v>Solar Candy Cane Path Stakes 4pk</x:v>
      </x:c>
      <x:c r="I324" s="26" t="str">
        <x:v>Christmas Lighting 2026</x:v>
      </x:c>
      <x:c r="J324" s="26" t="str">
        <x:v>SKU精确匹配</x:v>
      </x:c>
    </x:row>
    <x:row r="325">
      <x:c r="A325" s="24" t="str">
        <x:v>HB SPRINGFIELD</x:v>
      </x:c>
      <x:c r="B325" s="24" t="str">
        <x:v>8</x:v>
      </x:c>
      <x:c r="C325" s="24" t="str">
        <x:v>圣诞普通商品</x:v>
      </x:c>
      <x:c r="D325" s="24" t="str">
        <x:v>圣诞树挂饰</x:v>
      </x:c>
      <x:c r="E325" s="25" t="n">
        <x:v>4</x:v>
      </x:c>
      <x:c r="F325" s="25" t="n">
        <x:v>13</x:v>
      </x:c>
      <x:c r="G325" s="25" t="n">
        <x:v>360</x:v>
      </x:c>
      <x:c r="H325" s="26" t="str">
        <x:v>Hanging Gold Leaf Velvet Bow Asst；Hanging Glitter Deco 2pk Asst；Hanging Iridescent Ballerina 18cm Asst</x:v>
      </x:c>
      <x:c r="I325" s="26" t="str">
        <x:v>Christmas General 2026</x:v>
      </x:c>
      <x:c r="J325" s="26" t="str">
        <x:v>SKU精确匹配</x:v>
      </x:c>
    </x:row>
    <x:row r="326">
      <x:c r="A326" s="24" t="str">
        <x:v>HB SPRINGFIELD</x:v>
      </x:c>
      <x:c r="B326" s="24" t="str">
        <x:v>8</x:v>
      </x:c>
      <x:c r="C326" s="24" t="str">
        <x:v>圣诞普通商品</x:v>
      </x:c>
      <x:c r="D326" s="24" t="str">
        <x:v>桌面装饰</x:v>
      </x:c>
      <x:c r="E326" s="25" t="n">
        <x:v>3</x:v>
      </x:c>
      <x:c r="F326" s="25" t="n">
        <x:v>13</x:v>
      </x:c>
      <x:c r="G326" s="25" t="n">
        <x:v>276</x:v>
      </x:c>
      <x:c r="H326" s="26" t="str">
        <x:v>Mini Star Topper 13cm Asst；LED Micro Wire Flicker Pillar Candle B/OP；LED Snowy Victorian Shop Asst</x:v>
      </x:c>
      <x:c r="I326" s="26" t="str">
        <x:v>Christmas General 2026</x:v>
      </x:c>
      <x:c r="J326" s="26" t="str">
        <x:v>SKU精确匹配</x:v>
      </x:c>
    </x:row>
    <x:row r="327">
      <x:c r="A327" s="24" t="str">
        <x:v>HB SPRINGFIELD</x:v>
      </x:c>
      <x:c r="B327" s="24" t="str">
        <x:v>8</x:v>
      </x:c>
      <x:c r="C327" s="24" t="str">
        <x:v>圣诞普通商品</x:v>
      </x:c>
      <x:c r="D327" s="24" t="str">
        <x:v>花材与枝叶</x:v>
      </x:c>
      <x:c r="E327" s="25" t="n">
        <x:v>2</x:v>
      </x:c>
      <x:c r="F327" s="25" t="n">
        <x:v>5</x:v>
      </x:c>
      <x:c r="G327" s="25" t="n">
        <x:v>108</x:v>
      </x:c>
      <x:c r="H327" s="26" t="str">
        <x:v>Garland Mini Holly 150cm Asst；Leafy Berry Garland 180cm Asst</x:v>
      </x:c>
      <x:c r="I327" s="26" t="str">
        <x:v>Christmas General 2026</x:v>
      </x:c>
      <x:c r="J327" s="26" t="str">
        <x:v>SKU精确匹配</x:v>
      </x:c>
    </x:row>
    <x:row r="328">
      <x:c r="A328" s="24" t="str">
        <x:v>HB SPRINGFIELD</x:v>
      </x:c>
      <x:c r="B328" s="24" t="str">
        <x:v>8</x:v>
      </x:c>
      <x:c r="C328" s="24" t="str">
        <x:v>圣诞普通商品</x:v>
      </x:c>
      <x:c r="D328" s="24" t="str">
        <x:v>纺织品</x:v>
      </x:c>
      <x:c r="E328" s="25" t="n">
        <x:v>2</x:v>
      </x:c>
      <x:c r="F328" s="25" t="n">
        <x:v>4</x:v>
      </x:c>
      <x:c r="G328" s="25" t="n">
        <x:v>120</x:v>
      </x:c>
      <x:c r="H328" s="26" t="str">
        <x:v>Table Runner Printed 183cm Asst；Tablecloth Printed 150x225cm Asst</x:v>
      </x:c>
      <x:c r="I328" s="26" t="str">
        <x:v>Christmas General 2026</x:v>
      </x:c>
      <x:c r="J328" s="26" t="str">
        <x:v>SKU精确匹配</x:v>
      </x:c>
    </x:row>
    <x:row r="329">
      <x:c r="A329" s="24" t="str">
        <x:v>HB SPRINGFIELD</x:v>
      </x:c>
      <x:c r="B329" s="24" t="str">
        <x:v>8</x:v>
      </x:c>
      <x:c r="C329" s="24" t="str">
        <x:v>圣诞普通商品</x:v>
      </x:c>
      <x:c r="D329" s="24" t="str">
        <x:v>奢华传统主题</x:v>
      </x:c>
      <x:c r="E329" s="25" t="n">
        <x:v>1</x:v>
      </x:c>
      <x:c r="F329" s="25" t="n">
        <x:v>4</x:v>
      </x:c>
      <x:c r="G329" s="25" t="n">
        <x:v>96</x:v>
      </x:c>
      <x:c r="H329" s="26" t="str">
        <x:v>Bauble Glitter Lattice 10cm Asst</x:v>
      </x:c>
      <x:c r="I329" s="26" t="str">
        <x:v>Christmas General 2026</x:v>
      </x:c>
      <x:c r="J329" s="26" t="str">
        <x:v>SKU精确匹配</x:v>
      </x:c>
    </x:row>
    <x:row r="330">
      <x:c r="A330" s="24" t="str">
        <x:v>HB SPRINGFIELD</x:v>
      </x:c>
      <x:c r="B330" s="24" t="str">
        <x:v>8</x:v>
      </x:c>
      <x:c r="C330" s="24" t="str">
        <x:v>圣诞普通商品</x:v>
      </x:c>
      <x:c r="D330" s="24" t="str">
        <x:v>厨房用品</x:v>
      </x:c>
      <x:c r="E330" s="25" t="n">
        <x:v>2</x:v>
      </x:c>
      <x:c r="F330" s="25" t="n">
        <x:v>3</x:v>
      </x:c>
      <x:c r="G330" s="25" t="n">
        <x:v>84</x:v>
      </x:c>
      <x:c r="H330" s="26" t="str">
        <x:v>Food Umbrella Asst；Food Net Christmas 140cm Asst</x:v>
      </x:c>
      <x:c r="I330" s="26" t="str">
        <x:v>Christmas General 2026</x:v>
      </x:c>
      <x:c r="J330" s="26" t="str">
        <x:v>SKU精确匹配</x:v>
      </x:c>
    </x:row>
    <x:row r="331">
      <x:c r="A331" s="24" t="str">
        <x:v>HB SPRINGFIELD</x:v>
      </x:c>
      <x:c r="B331" s="24" t="str">
        <x:v>8</x:v>
      </x:c>
      <x:c r="C331" s="24" t="str">
        <x:v>圣诞普通商品</x:v>
      </x:c>
      <x:c r="D331" s="24" t="str">
        <x:v>粉彩花园主题</x:v>
      </x:c>
      <x:c r="E331" s="25" t="n">
        <x:v>1</x:v>
      </x:c>
      <x:c r="F331" s="25" t="n">
        <x:v>2</x:v>
      </x:c>
      <x:c r="G331" s="25" t="n">
        <x:v>72</x:v>
      </x:c>
      <x:c r="H331" s="26" t="str">
        <x:v>Bauble Shiny Diamond Pastel 70mm Asst</x:v>
      </x:c>
      <x:c r="I331" s="26" t="str">
        <x:v>Christmas General 2026</x:v>
      </x:c>
      <x:c r="J331" s="26" t="str">
        <x:v>SKU精确匹配</x:v>
      </x:c>
    </x:row>
    <x:row r="332">
      <x:c r="A332" s="24" t="str">
        <x:v>HB SPRINGFIELD</x:v>
      </x:c>
      <x:c r="B332" s="24" t="str">
        <x:v>8</x:v>
      </x:c>
      <x:c r="C332" s="24" t="str">
        <x:v>圣诞普通商品</x:v>
      </x:c>
      <x:c r="D332" s="24" t="str">
        <x:v>墙面装饰</x:v>
      </x:c>
      <x:c r="E332" s="25" t="n">
        <x:v>2</x:v>
      </x:c>
      <x:c r="F332" s="25" t="n">
        <x:v>2</x:v>
      </x:c>
      <x:c r="G332" s="25" t="n">
        <x:v>42</x:v>
      </x:c>
      <x:c r="H332" s="26" t="str">
        <x:v>Merry Christmas Paper Banner 3m；Hanging Metal Berry Wreath Plaque Asst</x:v>
      </x:c>
      <x:c r="I332" s="26" t="str">
        <x:v>Christmas General 2026</x:v>
      </x:c>
      <x:c r="J332" s="26" t="str">
        <x:v>SKU精确匹配</x:v>
      </x:c>
    </x:row>
    <x:row r="333">
      <x:c r="A333" s="24" t="str">
        <x:v>HB SPRINGFIELD</x:v>
      </x:c>
      <x:c r="B333" s="24" t="str">
        <x:v>8</x:v>
      </x:c>
      <x:c r="C333" s="24" t="str">
        <x:v>圣诞普通商品</x:v>
      </x:c>
      <x:c r="D333" s="24" t="str">
        <x:v>节日趣味商品</x:v>
      </x:c>
      <x:c r="E333" s="25" t="n">
        <x:v>1</x:v>
      </x:c>
      <x:c r="F333" s="25" t="n">
        <x:v>1</x:v>
      </x:c>
      <x:c r="G333" s="25" t="n">
        <x:v>24</x:v>
      </x:c>
      <x:c r="H333" s="26" t="str">
        <x:v>Christmas Plush Pal SRT Asst</x:v>
      </x:c>
      <x:c r="I333" s="26" t="str">
        <x:v>Christmas General 2026</x:v>
      </x:c>
      <x:c r="J333" s="26" t="str">
        <x:v>SKU精确匹配</x:v>
      </x:c>
    </x:row>
    <x:row r="334">
      <x:c r="A334" s="24" t="str">
        <x:v>HB SPRINGFIELD</x:v>
      </x:c>
      <x:c r="B334" s="24" t="str">
        <x:v>8</x:v>
      </x:c>
      <x:c r="C334" s="24" t="str">
        <x:v>圣诞灯饰</x:v>
      </x:c>
      <x:c r="D334" s="24" t="str">
        <x:v>太阳能灯饰</x:v>
      </x:c>
      <x:c r="E334" s="25" t="n">
        <x:v>3</x:v>
      </x:c>
      <x:c r="F334" s="25" t="n">
        <x:v>21</x:v>
      </x:c>
      <x:c r="G334" s="25" t="n">
        <x:v>204</x:v>
      </x:c>
      <x:c r="H334" s="26" t="str">
        <x:v>Solar Mini Candy Cane Path Lghts 8pk；Solar LED Reindeer Path Lights 10pk Multi；Solar LED Path Lollipops 5pk Asst</x:v>
      </x:c>
      <x:c r="I334" s="26" t="str">
        <x:v>Christmas Lighting 2026</x:v>
      </x:c>
      <x:c r="J334" s="26" t="str">
        <x:v>SKU精确匹配</x:v>
      </x:c>
    </x:row>
    <x:row r="335">
      <x:c r="A335" s="24" t="str">
        <x:v>HB SPRINGFIELD</x:v>
      </x:c>
      <x:c r="B335" s="24" t="str">
        <x:v>8</x:v>
      </x:c>
      <x:c r="C335" s="24" t="str">
        <x:v>圣诞灯饰</x:v>
      </x:c>
      <x:c r="D335" s="24" t="str">
        <x:v>Infinity/Neon 灯饰</x:v>
      </x:c>
      <x:c r="E335" s="25" t="n">
        <x:v>2</x:v>
      </x:c>
      <x:c r="F335" s="25" t="n">
        <x:v>3</x:v>
      </x:c>
      <x:c r="G335" s="25" t="n">
        <x:v>24</x:v>
      </x:c>
      <x:c r="H335" s="26" t="str">
        <x:v>Infinity Light Ginger Man/House 42cm Asst；Infinity Light Reindeer 41cm</x:v>
      </x:c>
      <x:c r="I335" s="26" t="str">
        <x:v>Christmas Lighting 2026</x:v>
      </x:c>
      <x:c r="J335" s="26" t="str">
        <x:v>SKU精确匹配</x:v>
      </x:c>
    </x:row>
    <x:row r="336">
      <x:c r="A336" s="24" t="str">
        <x:v>HB SPRINGFIELD</x:v>
      </x:c>
      <x:c r="B336" s="24" t="str">
        <x:v>8</x:v>
      </x:c>
      <x:c r="C336" s="24" t="str">
        <x:v>圣诞灯饰</x:v>
      </x:c>
      <x:c r="D336" s="24" t="str">
        <x:v>创意灯饰</x:v>
      </x:c>
      <x:c r="E336" s="25" t="n">
        <x:v>1</x:v>
      </x:c>
      <x:c r="F336" s="25" t="n">
        <x:v>1</x:v>
      </x:c>
      <x:c r="G336" s="25" t="n">
        <x:v>12</x:v>
      </x:c>
      <x:c r="H336" s="26" t="str">
        <x:v>LED Dew Drop Star Curtain Multi Colour</x:v>
      </x:c>
      <x:c r="I336" s="26" t="str">
        <x:v>Christmas Lighting 2026</x:v>
      </x:c>
      <x:c r="J336" s="26" t="str">
        <x:v>SKU精确匹配</x:v>
      </x:c>
    </x:row>
    <x:row r="337">
      <x:c r="A337" s="24" t="str">
        <x:v>HB SPRINGFIELD</x:v>
      </x:c>
      <x:c r="B337" s="24" t="str">
        <x:v>8</x:v>
      </x:c>
      <x:c r="C337" s="24" t="str">
        <x:v>圣诞灯饰</x:v>
      </x:c>
      <x:c r="D337" s="24" t="str">
        <x:v>庭院灯饰</x:v>
      </x:c>
      <x:c r="E337" s="25" t="n">
        <x:v>1</x:v>
      </x:c>
      <x:c r="F337" s="25" t="n">
        <x:v>1</x:v>
      </x:c>
      <x:c r="G337" s="25" t="n">
        <x:v>6</x:v>
      </x:c>
      <x:c r="H337" s="26" t="str">
        <x:v>Solar Laser Red-Green Dots/Icons</x:v>
      </x:c>
      <x:c r="I337" s="26" t="str">
        <x:v>Christmas Lighting 2026</x:v>
      </x:c>
      <x:c r="J337" s="26" t="str">
        <x:v>SKU精确匹配</x:v>
      </x:c>
    </x:row>
    <x:row r="338">
      <x:c r="A338" s="24" t="str">
        <x:v>HB SPRINGFIELD</x:v>
      </x:c>
      <x:c r="B338" s="24" t="str">
        <x:v>9</x:v>
      </x:c>
      <x:c r="C338" s="24" t="str">
        <x:v>圣诞普通商品</x:v>
      </x:c>
      <x:c r="D338" s="24" t="str">
        <x:v>铃铛</x:v>
      </x:c>
      <x:c r="E338" s="25" t="n">
        <x:v>4</x:v>
      </x:c>
      <x:c r="F338" s="25" t="n">
        <x:v>24</x:v>
      </x:c>
      <x:c r="G338" s="25" t="n">
        <x:v>466</x:v>
      </x:c>
      <x:c r="H338" s="26" t="str">
        <x:v>Mini Nutbells Door Hanger 20cm Asst；Nutbells Hanger with Bow 30cm Asst；Nutbell Red Foliage Deco 35cm</x:v>
      </x:c>
      <x:c r="I338" s="26" t="str">
        <x:v>Christmas General 2026</x:v>
      </x:c>
      <x:c r="J338" s="26" t="str">
        <x:v>SKU精确匹配</x:v>
      </x:c>
    </x:row>
    <x:row r="339">
      <x:c r="A339" s="24" t="str">
        <x:v>HB SPRINGFIELD</x:v>
      </x:c>
      <x:c r="B339" s="24" t="str">
        <x:v>9</x:v>
      </x:c>
      <x:c r="C339" s="24" t="str">
        <x:v>圣诞普通商品</x:v>
      </x:c>
      <x:c r="D339" s="24" t="str">
        <x:v>墙面装饰</x:v>
      </x:c>
      <x:c r="E339" s="25" t="n">
        <x:v>2</x:v>
      </x:c>
      <x:c r="F339" s="25" t="n">
        <x:v>15</x:v>
      </x:c>
      <x:c r="G339" s="25" t="n">
        <x:v>192</x:v>
      </x:c>
      <x:c r="H339" s="26" t="str">
        <x:v>Christmas Giant Selfie Frame；Santa Eva Plaque</x:v>
      </x:c>
      <x:c r="I339" s="26" t="str">
        <x:v>Christmas General 2026</x:v>
      </x:c>
      <x:c r="J339" s="26" t="str">
        <x:v>SKU精确匹配</x:v>
      </x:c>
    </x:row>
    <x:row r="340">
      <x:c r="A340" s="24" t="str">
        <x:v>HB SPRINGFIELD</x:v>
      </x:c>
      <x:c r="B340" s="24" t="str">
        <x:v>9</x:v>
      </x:c>
      <x:c r="C340" s="24" t="str">
        <x:v>圣诞普通商品</x:v>
      </x:c>
      <x:c r="D340" s="24" t="str">
        <x:v>桌面装饰</x:v>
      </x:c>
      <x:c r="E340" s="25" t="n">
        <x:v>2</x:v>
      </x:c>
      <x:c r="F340" s="25" t="n">
        <x:v>4</x:v>
      </x:c>
      <x:c r="G340" s="25" t="n">
        <x:v>60</x:v>
      </x:c>
      <x:c r="H340" s="26" t="str">
        <x:v>Tree Topper Shiny Star 11cm Asst；LED Paper Board Farmhouse Asst</x:v>
      </x:c>
      <x:c r="I340" s="26" t="str">
        <x:v>Christmas General 2026</x:v>
      </x:c>
      <x:c r="J340" s="26" t="str">
        <x:v>SKU精确匹配</x:v>
      </x:c>
    </x:row>
    <x:row r="341">
      <x:c r="A341" s="24" t="str">
        <x:v>HB SPRINGFIELD</x:v>
      </x:c>
      <x:c r="B341" s="24" t="str">
        <x:v>9</x:v>
      </x:c>
      <x:c r="C341" s="24" t="str">
        <x:v>圣诞普通商品</x:v>
      </x:c>
      <x:c r="D341" s="24" t="str">
        <x:v>圣诞树挂饰</x:v>
      </x:c>
      <x:c r="E341" s="25" t="n">
        <x:v>1</x:v>
      </x:c>
      <x:c r="F341" s="25" t="n">
        <x:v>2</x:v>
      </x:c>
      <x:c r="G341" s="25" t="n">
        <x:v>72</x:v>
      </x:c>
      <x:c r="H341" s="26" t="str">
        <x:v>Hanging Teddy Bear Deco Asst</x:v>
      </x:c>
      <x:c r="I341" s="26" t="str">
        <x:v>Christmas General 2026</x:v>
      </x:c>
      <x:c r="J341" s="26" t="str">
        <x:v>SKU精确匹配</x:v>
      </x:c>
    </x:row>
    <x:row r="342">
      <x:c r="A342" s="24" t="str">
        <x:v>HB SPRINGFIELD</x:v>
      </x:c>
      <x:c r="B342" s="24" t="str">
        <x:v>9</x:v>
      </x:c>
      <x:c r="C342" s="24" t="str">
        <x:v>圣诞普通商品</x:v>
      </x:c>
      <x:c r="D342" s="24" t="str">
        <x:v>林地丝绒主题</x:v>
      </x:c>
      <x:c r="E342" s="25" t="n">
        <x:v>2</x:v>
      </x:c>
      <x:c r="F342" s="25" t="n">
        <x:v>2</x:v>
      </x:c>
      <x:c r="G342" s="25" t="n">
        <x:v>30</x:v>
      </x:c>
      <x:c r="H342" s="26" t="str">
        <x:v>Flocked Multi Berry Pick 60cm Asst；Santa Figurine Rich Burgundy 60cm</x:v>
      </x:c>
      <x:c r="I342" s="26" t="str">
        <x:v>Christmas General 2026</x:v>
      </x:c>
      <x:c r="J342" s="26" t="str">
        <x:v>SKU精确匹配</x:v>
      </x:c>
    </x:row>
    <x:row r="343">
      <x:c r="A343" s="24" t="str">
        <x:v>HB SPRINGFIELD</x:v>
      </x:c>
      <x:c r="B343" s="24" t="str">
        <x:v>9</x:v>
      </x:c>
      <x:c r="C343" s="24" t="str">
        <x:v>圣诞普通商品</x:v>
      </x:c>
      <x:c r="D343" s="24" t="str">
        <x:v>花材与枝叶</x:v>
      </x:c>
      <x:c r="E343" s="25" t="n">
        <x:v>1</x:v>
      </x:c>
      <x:c r="F343" s="25" t="n">
        <x:v>1</x:v>
      </x:c>
      <x:c r="G343" s="25" t="n">
        <x:v>36</x:v>
      </x:c>
      <x:c r="H343" s="26" t="str">
        <x:v>Metallic Draping Spray 134cm Asst</x:v>
      </x:c>
      <x:c r="I343" s="26" t="str">
        <x:v>Christmas General 2026</x:v>
      </x:c>
      <x:c r="J343" s="26" t="str">
        <x:v>SKU精确匹配</x:v>
      </x:c>
    </x:row>
    <x:row r="344">
      <x:c r="A344" s="24" t="str">
        <x:v>HB SPRINGFIELD</x:v>
      </x:c>
      <x:c r="B344" s="24" t="str">
        <x:v>9</x:v>
      </x:c>
      <x:c r="C344" s="24" t="str">
        <x:v>圣诞普通商品</x:v>
      </x:c>
      <x:c r="D344" s="24" t="str">
        <x:v>纺织品</x:v>
      </x:c>
      <x:c r="E344" s="25" t="n">
        <x:v>1</x:v>
      </x:c>
      <x:c r="F344" s="25" t="n">
        <x:v>1</x:v>
      </x:c>
      <x:c r="G344" s="25" t="n">
        <x:v>24</x:v>
      </x:c>
      <x:c r="H344" s="26" t="str">
        <x:v>Table Cloth Damask 150x225cm Asst</x:v>
      </x:c>
      <x:c r="I344" s="26" t="str">
        <x:v>Christmas General 2026</x:v>
      </x:c>
      <x:c r="J344" s="26" t="str">
        <x:v>SKU精确匹配</x:v>
      </x:c>
    </x:row>
    <x:row r="345">
      <x:c r="A345" s="24" t="str">
        <x:v>HB SPRINGFIELD</x:v>
      </x:c>
      <x:c r="B345" s="24" t="str">
        <x:v>9</x:v>
      </x:c>
      <x:c r="C345" s="24" t="str">
        <x:v>圣诞普通商品</x:v>
      </x:c>
      <x:c r="D345" s="24" t="str">
        <x:v>厨房用品</x:v>
      </x:c>
      <x:c r="E345" s="25" t="n">
        <x:v>1</x:v>
      </x:c>
      <x:c r="F345" s="25" t="n">
        <x:v>1</x:v>
      </x:c>
      <x:c r="G345" s="25" t="n">
        <x:v>24</x:v>
      </x:c>
      <x:c r="H345" s="26" t="str">
        <x:v>Apron Christmas Characters Asst</x:v>
      </x:c>
      <x:c r="I345" s="26" t="str">
        <x:v>Christmas General 2026</x:v>
      </x:c>
      <x:c r="J345" s="26" t="str">
        <x:v>SKU精确匹配</x:v>
      </x:c>
    </x:row>
    <x:row r="346">
      <x:c r="A346" s="24" t="str">
        <x:v>HB SPRINGFIELD</x:v>
      </x:c>
      <x:c r="B346" s="24" t="str">
        <x:v>9</x:v>
      </x:c>
      <x:c r="C346" s="24" t="str">
        <x:v>圣诞普通商品</x:v>
      </x:c>
      <x:c r="D346" s="24" t="str">
        <x:v>节日趣味商品</x:v>
      </x:c>
      <x:c r="E346" s="25" t="n">
        <x:v>1</x:v>
      </x:c>
      <x:c r="F346" s="25" t="n">
        <x:v>1</x:v>
      </x:c>
      <x:c r="G346" s="25" t="n">
        <x:v>12</x:v>
      </x:c>
      <x:c r="H346" s="26" t="str">
        <x:v>Soft Plush Toy 23cm Asst</x:v>
      </x:c>
      <x:c r="I346" s="26" t="str">
        <x:v>Christmas General 2026</x:v>
      </x:c>
      <x:c r="J346" s="26" t="str">
        <x:v>SKU精确匹配</x:v>
      </x:c>
    </x:row>
    <x:row r="347">
      <x:c r="A347" s="24" t="str">
        <x:v>HB SPRINGFIELD</x:v>
      </x:c>
      <x:c r="B347" s="24" t="str">
        <x:v>9</x:v>
      </x:c>
      <x:c r="C347" s="24" t="str">
        <x:v>圣诞普通商品</x:v>
      </x:c>
      <x:c r="D347" s="24" t="str">
        <x:v>午夜蓝主题</x:v>
      </x:c>
      <x:c r="E347" s="25" t="n">
        <x:v>1</x:v>
      </x:c>
      <x:c r="F347" s="25" t="n">
        <x:v>1</x:v>
      </x:c>
      <x:c r="G347" s="25" t="n">
        <x:v>6</x:v>
      </x:c>
      <x:c r="H347" s="26" t="str">
        <x:v>Santa Figurine Royal Blue 60cm</x:v>
      </x:c>
      <x:c r="I347" s="26" t="str">
        <x:v>Christmas General 2026</x:v>
      </x:c>
      <x:c r="J347" s="26" t="str">
        <x:v>SKU精确匹配</x:v>
      </x:c>
    </x:row>
    <x:row r="348">
      <x:c r="A348" s="24" t="str">
        <x:v>HB SPRINGFIELD</x:v>
      </x:c>
      <x:c r="B348" s="24" t="str">
        <x:v>9</x:v>
      </x:c>
      <x:c r="C348" s="24" t="str">
        <x:v>圣诞灯饰</x:v>
      </x:c>
      <x:c r="D348" s="24" t="str">
        <x:v>基础 LED 灯串</x:v>
      </x:c>
      <x:c r="E348" s="25" t="n">
        <x:v>1</x:v>
      </x:c>
      <x:c r="F348" s="25" t="n">
        <x:v>3</x:v>
      </x:c>
      <x:c r="G348" s="25" t="n">
        <x:v>18</x:v>
      </x:c>
      <x:c r="H348" s="26" t="str">
        <x:v>LED Fairy Lights 1000 w/Reel 5 Colour Funtime</x:v>
      </x:c>
      <x:c r="I348" s="26" t="str">
        <x:v>Christmas Lighting 2026</x:v>
      </x:c>
      <x:c r="J348" s="26" t="str">
        <x:v>SKU精确匹配</x:v>
      </x:c>
    </x:row>
    <x:row r="349">
      <x:c r="A349" s="24" t="str">
        <x:v>HB SPRINGFIELD</x:v>
      </x:c>
      <x:c r="B349" s="24" t="str">
        <x:v>9</x:v>
      </x:c>
      <x:c r="C349" s="24" t="str">
        <x:v>圣诞灯饰</x:v>
      </x:c>
      <x:c r="D349" s="24" t="str">
        <x:v>庭院灯饰</x:v>
      </x:c>
      <x:c r="E349" s="25" t="n">
        <x:v>1</x:v>
      </x:c>
      <x:c r="F349" s="25" t="n">
        <x:v>1</x:v>
      </x:c>
      <x:c r="G349" s="25" t="n">
        <x:v>6</x:v>
      </x:c>
      <x:c r="H349" s="26" t="str">
        <x:v>Laser RGB Dots Motion R/Cntrl</x:v>
      </x:c>
      <x:c r="I349" s="26" t="str">
        <x:v>Christmas Lighting 2026</x:v>
      </x:c>
      <x:c r="J349" s="26" t="str">
        <x:v>SKU精确匹配</x:v>
      </x:c>
    </x:row>
    <x:row r="350">
      <x:c r="A350" s="24" t="str">
        <x:v>HB SPRINGFIELD</x:v>
      </x:c>
      <x:c r="B350" s="24" t="str">
        <x:v>9</x:v>
      </x:c>
      <x:c r="C350" s="24" t="str">
        <x:v>圣诞灯饰</x:v>
      </x:c>
      <x:c r="D350" s="24" t="str">
        <x:v>Ropelight 绳灯</x:v>
      </x:c>
      <x:c r="E350" s="25" t="n">
        <x:v>1</x:v>
      </x:c>
      <x:c r="F350" s="25" t="n">
        <x:v>1</x:v>
      </x:c>
      <x:c r="G350" s="25" t="n">
        <x:v>4</x:v>
      </x:c>
      <x:c r="H350" s="26" t="str">
        <x:v>Ropelight Santa Airplane Spinning Prop</x:v>
      </x:c>
      <x:c r="I350" s="26" t="str">
        <x:v>Christmas Lighting 2026</x:v>
      </x:c>
      <x:c r="J350" s="26" t="str">
        <x:v>SKU精确匹配</x:v>
      </x:c>
    </x:row>
    <x:row r="351">
      <x:c r="A351" s="24" t="str">
        <x:v>HB SPRINGFIELD</x:v>
      </x:c>
      <x:c r="B351" s="24" t="str">
        <x:v>10</x:v>
      </x:c>
      <x:c r="C351" s="24" t="str">
        <x:v>圣诞普通商品</x:v>
      </x:c>
      <x:c r="D351" s="24" t="str">
        <x:v>铃铛</x:v>
      </x:c>
      <x:c r="E351" s="25" t="n">
        <x:v>2</x:v>
      </x:c>
      <x:c r="F351" s="25" t="n">
        <x:v>9</x:v>
      </x:c>
      <x:c r="G351" s="25" t="n">
        <x:v>54</x:v>
      </x:c>
      <x:c r="H351" s="26" t="str">
        <x:v>Hammered Bell with Deco 25cm Asst；Twin Bells Hanger Metallic Decos Asst</x:v>
      </x:c>
      <x:c r="I351" s="26" t="str">
        <x:v>Christmas General 2026</x:v>
      </x:c>
      <x:c r="J351" s="26" t="str">
        <x:v>SKU精确匹配</x:v>
      </x:c>
    </x:row>
    <x:row r="352">
      <x:c r="A352" s="24" t="str">
        <x:v>HB SPRINGFIELD</x:v>
      </x:c>
      <x:c r="B352" s="24" t="str">
        <x:v>10</x:v>
      </x:c>
      <x:c r="C352" s="24" t="str">
        <x:v>圣诞普通商品</x:v>
      </x:c>
      <x:c r="D352" s="24" t="str">
        <x:v>桌面装饰</x:v>
      </x:c>
      <x:c r="E352" s="25" t="n">
        <x:v>1</x:v>
      </x:c>
      <x:c r="F352" s="25" t="n">
        <x:v>4</x:v>
      </x:c>
      <x:c r="G352" s="25" t="n">
        <x:v>96</x:v>
      </x:c>
      <x:c r="H352" s="26" t="str">
        <x:v>Waterball Highland Cow 45mm Asst</x:v>
      </x:c>
      <x:c r="I352" s="26" t="str">
        <x:v>Christmas General 2026</x:v>
      </x:c>
      <x:c r="J352" s="26" t="str">
        <x:v>SKU精确匹配</x:v>
      </x:c>
    </x:row>
    <x:row r="353">
      <x:c r="A353" s="24" t="str">
        <x:v>HB SPRINGFIELD</x:v>
      </x:c>
      <x:c r="B353" s="24" t="str">
        <x:v>10</x:v>
      </x:c>
      <x:c r="C353" s="24" t="str">
        <x:v>圣诞普通商品</x:v>
      </x:c>
      <x:c r="D353" s="24" t="str">
        <x:v>花材与枝叶</x:v>
      </x:c>
      <x:c r="E353" s="25" t="n">
        <x:v>1</x:v>
      </x:c>
      <x:c r="F353" s="25" t="n">
        <x:v>3</x:v>
      </x:c>
      <x:c r="G353" s="25" t="n">
        <x:v>72</x:v>
      </x:c>
      <x:c r="H353" s="26" t="str">
        <x:v>Holly &amp; Berries Garland 2.7m</x:v>
      </x:c>
      <x:c r="I353" s="26" t="str">
        <x:v>Christmas General 2026</x:v>
      </x:c>
      <x:c r="J353" s="26" t="str">
        <x:v>SKU精确匹配</x:v>
      </x:c>
    </x:row>
    <x:row r="354">
      <x:c r="A354" s="24" t="str">
        <x:v>HB SPRINGFIELD</x:v>
      </x:c>
      <x:c r="B354" s="24" t="str">
        <x:v>10</x:v>
      </x:c>
      <x:c r="C354" s="24" t="str">
        <x:v>圣诞普通商品</x:v>
      </x:c>
      <x:c r="D354" s="24" t="str">
        <x:v>糖果手杖主题</x:v>
      </x:c>
      <x:c r="E354" s="25" t="n">
        <x:v>2</x:v>
      </x:c>
      <x:c r="F354" s="25" t="n">
        <x:v>3</x:v>
      </x:c>
      <x:c r="G354" s="25" t="n">
        <x:v>32</x:v>
      </x:c>
      <x:c r="H354" s="26" t="str">
        <x:v>Candy Waffle Train Deco Asst；Sweet Candy House Asst</x:v>
      </x:c>
      <x:c r="I354" s="26" t="str">
        <x:v>Christmas General 2026</x:v>
      </x:c>
      <x:c r="J354" s="26" t="str">
        <x:v>SKU精确匹配</x:v>
      </x:c>
    </x:row>
    <x:row r="355">
      <x:c r="A355" s="24" t="str">
        <x:v>HB SPRINGFIELD</x:v>
      </x:c>
      <x:c r="B355" s="24" t="str">
        <x:v>10</x:v>
      </x:c>
      <x:c r="C355" s="24" t="str">
        <x:v>圣诞普通商品</x:v>
      </x:c>
      <x:c r="D355" s="24" t="str">
        <x:v>圣诞树挂饰</x:v>
      </x:c>
      <x:c r="E355" s="25" t="n">
        <x:v>1</x:v>
      </x:c>
      <x:c r="F355" s="25" t="n">
        <x:v>1</x:v>
      </x:c>
      <x:c r="G355" s="25" t="n">
        <x:v>36</x:v>
      </x:c>
      <x:c r="H355" s="26" t="str">
        <x:v>Hanging Christmas Dog 10cm Asst</x:v>
      </x:c>
      <x:c r="I355" s="26" t="str">
        <x:v>Christmas General 2026</x:v>
      </x:c>
      <x:c r="J355" s="26" t="str">
        <x:v>SKU精确匹配</x:v>
      </x:c>
    </x:row>
    <x:row r="356">
      <x:c r="A356" s="24" t="str">
        <x:v>HB SPRINGFIELD</x:v>
      </x:c>
      <x:c r="B356" s="24" t="str">
        <x:v>10</x:v>
      </x:c>
      <x:c r="C356" s="24" t="str">
        <x:v>圣诞普通商品</x:v>
      </x:c>
      <x:c r="D356" s="24" t="str">
        <x:v>厨房用品</x:v>
      </x:c>
      <x:c r="E356" s="25" t="n">
        <x:v>1</x:v>
      </x:c>
      <x:c r="F356" s="25" t="n">
        <x:v>1</x:v>
      </x:c>
      <x:c r="G356" s="25" t="n">
        <x:v>24</x:v>
      </x:c>
      <x:c r="H356" s="26" t="str">
        <x:v>Cotton Tea Towel Asst</x:v>
      </x:c>
      <x:c r="I356" s="26" t="str">
        <x:v>Christmas General 2026</x:v>
      </x:c>
      <x:c r="J356" s="26" t="str">
        <x:v>SKU精确匹配</x:v>
      </x:c>
    </x:row>
    <x:row r="357">
      <x:c r="A357" s="24" t="str">
        <x:v>HB SPRINGFIELD</x:v>
      </x:c>
      <x:c r="B357" s="24" t="str">
        <x:v>10</x:v>
      </x:c>
      <x:c r="C357" s="24" t="str">
        <x:v>圣诞普通商品</x:v>
      </x:c>
      <x:c r="D357" s="24" t="str">
        <x:v>林地丝绒主题</x:v>
      </x:c>
      <x:c r="E357" s="25" t="n">
        <x:v>1</x:v>
      </x:c>
      <x:c r="F357" s="25" t="n">
        <x:v>1</x:v>
      </x:c>
      <x:c r="G357" s="25" t="n">
        <x:v>6</x:v>
      </x:c>
      <x:c r="H357" s="26" t="str">
        <x:v>Santa Figurine Emerald Green 60cm</x:v>
      </x:c>
      <x:c r="I357" s="26" t="str">
        <x:v>Christmas General 2026</x:v>
      </x:c>
      <x:c r="J357" s="26" t="str">
        <x:v>SKU精确匹配</x:v>
      </x:c>
    </x:row>
    <x:row r="358">
      <x:c r="A358" s="24" t="str">
        <x:v>HB SPRINGFIELD</x:v>
      </x:c>
      <x:c r="B358" s="24" t="str">
        <x:v>10</x:v>
      </x:c>
      <x:c r="C358" s="24" t="str">
        <x:v>圣诞灯饰</x:v>
      </x:c>
      <x:c r="D358" s="24" t="str">
        <x:v>太阳能灯饰</x:v>
      </x:c>
      <x:c r="E358" s="25" t="n">
        <x:v>2</x:v>
      </x:c>
      <x:c r="F358" s="25" t="n">
        <x:v>7</x:v>
      </x:c>
      <x:c r="G358" s="25" t="n">
        <x:v>42</x:v>
      </x:c>
      <x:c r="H358" s="26" t="str">
        <x:v>Solar LED Reindeer White；Solar Icicle Lights 80pk Multi/White Asst</x:v>
      </x:c>
      <x:c r="I358" s="26" t="str">
        <x:v>Christmas Lighting 2026</x:v>
      </x:c>
      <x:c r="J358" s="26" t="str">
        <x:v>SKU精确匹配</x:v>
      </x:c>
    </x:row>
    <x:row r="359">
      <x:c r="A359" s="24" t="str">
        <x:v>HB SPRINGFIELD</x:v>
      </x:c>
      <x:c r="B359" s="24" t="str">
        <x:v>10</x:v>
      </x:c>
      <x:c r="C359" s="24" t="str">
        <x:v>圣诞灯饰</x:v>
      </x:c>
      <x:c r="D359" s="24" t="str">
        <x:v>Ropelight 绳灯</x:v>
      </x:c>
      <x:c r="E359" s="25" t="n">
        <x:v>2</x:v>
      </x:c>
      <x:c r="F359" s="25" t="n">
        <x:v>7</x:v>
      </x:c>
      <x:c r="G359" s="25" t="n">
        <x:v>28</x:v>
      </x:c>
      <x:c r="H359" s="26" t="str">
        <x:v>Ropelight Tree PVC Lace Twinkle Asst；Ropelight Happy Santa Twinkle Red-Green-Cool</x:v>
      </x:c>
      <x:c r="I359" s="26" t="str">
        <x:v>Christmas Lighting 2026</x:v>
      </x:c>
      <x:c r="J359" s="26" t="str">
        <x:v>SKU精确匹配</x:v>
      </x:c>
    </x:row>
    <x:row r="360">
      <x:c r="A360" s="24" t="str">
        <x:v>HB SPRINGFIELD</x:v>
      </x:c>
      <x:c r="B360" s="24" t="str">
        <x:v>10</x:v>
      </x:c>
      <x:c r="C360" s="24" t="str">
        <x:v>圣诞灯饰</x:v>
      </x:c>
      <x:c r="D360" s="24" t="str">
        <x:v>创意灯饰</x:v>
      </x:c>
      <x:c r="E360" s="25" t="n">
        <x:v>2</x:v>
      </x:c>
      <x:c r="F360" s="25" t="n">
        <x:v>3</x:v>
      </x:c>
      <x:c r="G360" s="25" t="n">
        <x:v>18</x:v>
      </x:c>
      <x:c r="H360" s="26" t="str">
        <x:v>LED Rainfall Tubes 12pk Mixed Size Icy Blue；Ladder Light Star Top w/Santa Warm/Multi Asst</x:v>
      </x:c>
      <x:c r="I360" s="26" t="str">
        <x:v>Christmas Lighting 2026</x:v>
      </x:c>
      <x:c r="J360" s="26" t="str">
        <x:v>SKU精确匹配</x:v>
      </x:c>
    </x:row>
    <x:row r="361">
      <x:c r="A361" s="24" t="str">
        <x:v>HB SPRINGFIELD</x:v>
      </x:c>
      <x:c r="B361" s="24" t="str">
        <x:v>10</x:v>
      </x:c>
      <x:c r="C361" s="24" t="str">
        <x:v>圣诞灯饰</x:v>
      </x:c>
      <x:c r="D361" s="24" t="str">
        <x:v>灯光圣诞树</x:v>
      </x:c>
      <x:c r="E361" s="25" t="n">
        <x:v>1</x:v>
      </x:c>
      <x:c r="F361" s="25" t="n">
        <x:v>2</x:v>
      </x:c>
      <x:c r="G361" s="25" t="n">
        <x:v>8</x:v>
      </x:c>
      <x:c r="H361" s="26" t="str">
        <x:v>Weeping Willow 210cm Warm White Twinkle</x:v>
      </x:c>
      <x:c r="I361" s="26" t="str">
        <x:v>Christmas Lighting 2026</x:v>
      </x:c>
      <x:c r="J361" s="26" t="str">
        <x:v>SKU精确匹配</x:v>
      </x:c>
    </x:row>
    <x:row r="362">
      <x:c r="A362" s="24" t="str">
        <x:v>HB SPRINGFIELD</x:v>
      </x:c>
      <x:c r="B362" s="24" t="str">
        <x:v>20</x:v>
      </x:c>
      <x:c r="C362" s="24" t="str">
        <x:v>圣诞普通商品</x:v>
      </x:c>
      <x:c r="D362" s="24" t="str">
        <x:v>花材与枝叶</x:v>
      </x:c>
      <x:c r="E362" s="25" t="n">
        <x:v>1</x:v>
      </x:c>
      <x:c r="F362" s="25" t="n">
        <x:v>2</x:v>
      </x:c>
      <x:c r="G362" s="25" t="n">
        <x:v>48</x:v>
      </x:c>
      <x:c r="H362" s="26" t="str">
        <x:v>Foliage Berry Hanger with Bow Asst</x:v>
      </x:c>
      <x:c r="I362" s="26" t="str">
        <x:v>Christmas General 2026</x:v>
      </x:c>
      <x:c r="J362" s="26" t="str">
        <x:v>SKU精确匹配</x:v>
      </x:c>
    </x:row>
    <x:row r="363">
      <x:c r="A363" s="24" t="str">
        <x:v>HB SPRINGFIELD</x:v>
      </x:c>
      <x:c r="B363" s="24" t="str">
        <x:v>20</x:v>
      </x:c>
      <x:c r="C363" s="24" t="str">
        <x:v>圣诞普通商品</x:v>
      </x:c>
      <x:c r="D363" s="24" t="str">
        <x:v>圣诞树挂饰</x:v>
      </x:c>
      <x:c r="E363" s="25" t="n">
        <x:v>1</x:v>
      </x:c>
      <x:c r="F363" s="25" t="n">
        <x:v>2</x:v>
      </x:c>
      <x:c r="G363" s="25" t="n">
        <x:v>48</x:v>
      </x:c>
      <x:c r="H363" s="26" t="str">
        <x:v>Hanging Plush Teddy Bear Asst</x:v>
      </x:c>
      <x:c r="I363" s="26" t="str">
        <x:v>Christmas General 2026</x:v>
      </x:c>
      <x:c r="J363" s="26" t="str">
        <x:v>SKU精确匹配</x:v>
      </x:c>
    </x:row>
    <x:row r="364">
      <x:c r="A364" s="24" t="str">
        <x:v>HB SPRINGFIELD</x:v>
      </x:c>
      <x:c r="B364" s="24" t="str">
        <x:v>20</x:v>
      </x:c>
      <x:c r="C364" s="24" t="str">
        <x:v>圣诞普通商品</x:v>
      </x:c>
      <x:c r="D364" s="24" t="str">
        <x:v>糖果手杖主题</x:v>
      </x:c>
      <x:c r="E364" s="25" t="n">
        <x:v>1</x:v>
      </x:c>
      <x:c r="F364" s="25" t="n">
        <x:v>1</x:v>
      </x:c>
      <x:c r="G364" s="25" t="n">
        <x:v>12</x:v>
      </x:c>
      <x:c r="H364" s="26" t="str">
        <x:v>Candycane Gingerbread House Asst</x:v>
      </x:c>
      <x:c r="I364" s="26" t="str">
        <x:v>Christmas General 2026</x:v>
      </x:c>
      <x:c r="J364" s="26" t="str">
        <x:v>SKU精确匹配</x:v>
      </x:c>
    </x:row>
    <x:row r="365">
      <x:c r="A365" s="24" t="str">
        <x:v>HB SPRINGFIELD</x:v>
      </x:c>
      <x:c r="B365" s="24" t="str">
        <x:v>20</x:v>
      </x:c>
      <x:c r="C365" s="24" t="str">
        <x:v>圣诞普通商品</x:v>
      </x:c>
      <x:c r="D365" s="24" t="str">
        <x:v>蝴蝶结</x:v>
      </x:c>
      <x:c r="E365" s="25" t="n">
        <x:v>1</x:v>
      </x:c>
      <x:c r="F365" s="25" t="n">
        <x:v>1</x:v>
      </x:c>
      <x:c r="G365" s="25" t="n">
        <x:v>12</x:v>
      </x:c>
      <x:c r="H365" s="26" t="str">
        <x:v>LED Tinsel Bow Red</x:v>
      </x:c>
      <x:c r="I365" s="26" t="str">
        <x:v>Christmas General 2026</x:v>
      </x:c>
      <x:c r="J365" s="26" t="str">
        <x:v>SKU精确匹配</x:v>
      </x:c>
    </x:row>
    <x:row r="366">
      <x:c r="A366" s="24" t="str">
        <x:v>HB SPRINGFIELD</x:v>
      </x:c>
      <x:c r="B366" s="24" t="str">
        <x:v>20</x:v>
      </x:c>
      <x:c r="C366" s="24" t="str">
        <x:v>圣诞灯饰</x:v>
      </x:c>
      <x:c r="D366" s="24" t="str">
        <x:v>太阳能灯饰</x:v>
      </x:c>
      <x:c r="E366" s="25" t="n">
        <x:v>6</x:v>
      </x:c>
      <x:c r="F366" s="25" t="n">
        <x:v>26</x:v>
      </x:c>
      <x:c r="G366" s="25" t="n">
        <x:v>240</x:v>
      </x:c>
      <x:c r="H366" s="26" t="str">
        <x:v>Solar Character Path Stakes 6pk；Solar Santa Sleigh Path Set Flashing 5pk；Solar LED Star Path Lights 5pk Asst</x:v>
      </x:c>
      <x:c r="I366" s="26" t="str">
        <x:v>Christmas Lighting 2026</x:v>
      </x:c>
      <x:c r="J366" s="26" t="str">
        <x:v>SKU精确匹配</x:v>
      </x:c>
    </x:row>
    <x:row r="367">
      <x:c r="A367" s="24" t="str">
        <x:v>HB SPRINGFIELD</x:v>
      </x:c>
      <x:c r="B367" s="24" t="str">
        <x:v>20</x:v>
      </x:c>
      <x:c r="C367" s="24" t="str">
        <x:v>圣诞灯饰</x:v>
      </x:c>
      <x:c r="D367" s="24" t="str">
        <x:v>创意灯饰</x:v>
      </x:c>
      <x:c r="E367" s="25" t="n">
        <x:v>2</x:v>
      </x:c>
      <x:c r="F367" s="25" t="n">
        <x:v>6</x:v>
      </x:c>
      <x:c r="G367" s="25" t="n">
        <x:v>36</x:v>
      </x:c>
      <x:c r="H367" s="26" t="str">
        <x:v>Nativity Star Curtain Light Multi Col；LED Rainfall Tubes 12pk Mixed Size Multi Colour</x:v>
      </x:c>
      <x:c r="I367" s="26" t="str">
        <x:v>Christmas Lighting 2026</x:v>
      </x:c>
      <x:c r="J367" s="26" t="str">
        <x:v>SKU精确匹配</x:v>
      </x:c>
    </x:row>
    <x:row r="368">
      <x:c r="A368" s="24" t="str">
        <x:v>HB SPRINGFIELD</x:v>
      </x:c>
      <x:c r="B368" s="24" t="str">
        <x:v>Loose</x:v>
      </x:c>
      <x:c r="C368" s="24" t="str">
        <x:v>圣诞普通商品</x:v>
      </x:c>
      <x:c r="D368" s="24" t="str">
        <x:v>桌面装饰</x:v>
      </x:c>
      <x:c r="E368" s="25" t="n">
        <x:v>1</x:v>
      </x:c>
      <x:c r="F368" s="25" t="n">
        <x:v>2</x:v>
      </x:c>
      <x:c r="G368" s="25" t="n">
        <x:v>48</x:v>
      </x:c>
      <x:c r="H368" s="26" t="str">
        <x:v>Glitter Wire Tree 20cm Asst</x:v>
      </x:c>
      <x:c r="I368" s="26" t="str">
        <x:v>Christmas General 2026</x:v>
      </x:c>
      <x:c r="J368" s="26" t="str">
        <x:v>SKU精确匹配</x:v>
      </x:c>
    </x:row>
    <x:row r="369">
      <x:c r="A369" s="24" t="str">
        <x:v>HB SPRINGFIELD</x:v>
      </x:c>
      <x:c r="B369" s="24" t="str">
        <x:v>Loose</x:v>
      </x:c>
      <x:c r="C369" s="24" t="str">
        <x:v>圣诞普通商品</x:v>
      </x:c>
      <x:c r="D369" s="24" t="str">
        <x:v>蝴蝶结</x:v>
      </x:c>
      <x:c r="E369" s="25" t="n">
        <x:v>1</x:v>
      </x:c>
      <x:c r="F369" s="25" t="n">
        <x:v>1</x:v>
      </x:c>
      <x:c r="G369" s="25" t="n">
        <x:v>12</x:v>
      </x:c>
      <x:c r="H369" s="26" t="str">
        <x:v>LED Tinsel Bow Gold</x:v>
      </x:c>
      <x:c r="I369" s="26" t="str">
        <x:v>Christmas General 2026</x:v>
      </x:c>
      <x:c r="J369" s="26" t="str">
        <x:v>SKU精确匹配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0516dcf617442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8" hidden="0" customWidth="1"/>
    <x:col min="3" max="3" width="12.779999732971191" hidden="0" customWidth="1"/>
    <x:col min="4" max="4" width="41.11000061035156" hidden="0" customWidth="1"/>
    <x:col min="5" max="5" width="8.670000076293945" hidden="0" customWidth="1"/>
    <x:col min="6" max="6" width="8.670000076293945" hidden="0" customWidth="1"/>
    <x:col min="7" max="7" width="22.780000686645508" hidden="0" customWidth="1"/>
    <x:col min="8" max="8" width="20" hidden="0" customWidth="1"/>
  </x:cols>
  <x:sheetData>
    <x:row r="1" ht="30" customHeight="1">
      <x:c r="A1" s="4" t="str">
        <x:v>V0007551 Ropelight 商品明细</x:v>
      </x:c>
      <x:c r="B1" s="4" t="str">
        <x:v>V0007551 Ropelight 商品明细</x:v>
      </x:c>
      <x:c r="C1" s="4" t="str">
        <x:v>V0007551 Ropelight 商品明细</x:v>
      </x:c>
      <x:c r="D1" s="4" t="str">
        <x:v>V0007551 Ropelight 商品明细</x:v>
      </x:c>
      <x:c r="E1" s="4" t="str">
        <x:v>V0007551 Ropelight 商品明细</x:v>
      </x:c>
      <x:c r="F1" s="4" t="str">
        <x:v>V0007551 Ropelight 商品明细</x:v>
      </x:c>
      <x:c r="G1" s="4" t="str">
        <x:v>V0007551 Ropelight 商品明细</x:v>
      </x:c>
      <x:c r="H1" s="4" t="str">
        <x:v>V0007551 Ropelight 商品明细</x:v>
      </x:c>
    </x:row>
    <x:row r="2" ht="30" customHeight="1">
      <x:c r="A2" s="8" t="str">
        <x:v>仅列商品名称中明确标示 Ropelight 的项目，全部对应 Christmas Lighting 2026 的 Motif Lights 分类。</x:v>
      </x:c>
      <x:c r="B2" s="8" t="str">
        <x:v>仅列商品名称中明确标示 Ropelight 的项目，全部对应 Christmas Lighting 2026 的 Motif Lights 分类。</x:v>
      </x:c>
      <x:c r="C2" s="8" t="str">
        <x:v>仅列商品名称中明确标示 Ropelight 的项目，全部对应 Christmas Lighting 2026 的 Motif Lights 分类。</x:v>
      </x:c>
      <x:c r="D2" s="8" t="str">
        <x:v>仅列商品名称中明确标示 Ropelight 的项目，全部对应 Christmas Lighting 2026 的 Motif Lights 分类。</x:v>
      </x:c>
      <x:c r="E2" s="8" t="str">
        <x:v>仅列商品名称中明确标示 Ropelight 的项目，全部对应 Christmas Lighting 2026 的 Motif Lights 分类。</x:v>
      </x:c>
      <x:c r="F2" s="8" t="str">
        <x:v>仅列商品名称中明确标示 Ropelight 的项目，全部对应 Christmas Lighting 2026 的 Motif Lights 分类。</x:v>
      </x:c>
      <x:c r="G2" s="8" t="str">
        <x:v>仅列商品名称中明确标示 Ropelight 的项目，全部对应 Christmas Lighting 2026 的 Motif Lights 分类。</x:v>
      </x:c>
      <x:c r="H2" s="8" t="str">
        <x:v>仅列商品名称中明确标示 Ropelight 的项目，全部对应 Christmas Lighting 2026 的 Motif Lights 分类。</x:v>
      </x:c>
    </x:row>
    <x:row r="4" ht="32" customHeight="1">
      <x:c r="A4" s="35" t="str">
        <x:v>分店</x:v>
      </x:c>
      <x:c r="B4" s="30" t="str">
        <x:v>托盘</x:v>
      </x:c>
      <x:c r="C4" s="30" t="str">
        <x:v>SKU</x:v>
      </x:c>
      <x:c r="D4" s="30" t="str">
        <x:v>商品名称</x:v>
      </x:c>
      <x:c r="E4" s="30" t="str">
        <x:v>箱数</x:v>
      </x:c>
      <x:c r="F4" s="30" t="str">
        <x:v>件数</x:v>
      </x:c>
      <x:c r="G4" s="30" t="str">
        <x:v>分类依据</x:v>
      </x:c>
      <x:c r="H4" s="36" t="str">
        <x:v>目录子类</x:v>
      </x:c>
    </x:row>
    <x:row r="5">
      <x:c r="A5" t="str">
        <x:v>HB KAWANA</x:v>
      </x:c>
      <x:c r="B5" t="str">
        <x:v>12</x:v>
      </x:c>
      <x:c r="C5" t="str">
        <x:v>XL0000666</x:v>
      </x:c>
      <x:c r="D5" t="str">
        <x:v>Slashing Through The Snow Santa Ropelight</x:v>
      </x:c>
      <x:c r="E5" s="23" t="n">
        <x:v>2</x:v>
      </x:c>
      <x:c r="F5" s="23" t="n">
        <x:v>12</x:v>
      </x:c>
      <x:c r="G5" t="str">
        <x:v>Christmas Lighting 2026</x:v>
      </x:c>
      <x:c r="H5" t="str">
        <x:v>Motif Lights / Ropelight</x:v>
      </x:c>
    </x:row>
    <x:row r="6">
      <x:c r="A6" t="str">
        <x:v>HB KAWANA</x:v>
      </x:c>
      <x:c r="B6" t="str">
        <x:v>12</x:v>
      </x:c>
      <x:c r="C6" t="str">
        <x:v>XL0000670</x:v>
      </x:c>
      <x:c r="D6" t="str">
        <x:v>Ropelight Holly Snow Merry Christmas Twinkle</x:v>
      </x:c>
      <x:c r="E6" s="23" t="n">
        <x:v>2</x:v>
      </x:c>
      <x:c r="F6" s="23" t="n">
        <x:v>8</x:v>
      </x:c>
      <x:c r="G6" t="str">
        <x:v>Christmas Lighting 2026</x:v>
      </x:c>
      <x:c r="H6" t="str">
        <x:v>Motif Lights / Ropelight</x:v>
      </x:c>
    </x:row>
    <x:row r="7">
      <x:c r="A7" t="str">
        <x:v>HB KAWANA</x:v>
      </x:c>
      <x:c r="B7" t="str">
        <x:v>13</x:v>
      </x:c>
      <x:c r="C7" t="str">
        <x:v>XL0000662</x:v>
      </x:c>
      <x:c r="D7" t="str">
        <x:v>Ropelight Happy Santa Twinkle Red-Green-Cool</x:v>
      </x:c>
      <x:c r="E7" s="23" t="n">
        <x:v>4</x:v>
      </x:c>
      <x:c r="F7" s="23" t="n">
        <x:v>16</x:v>
      </x:c>
      <x:c r="G7" t="str">
        <x:v>Christmas Lighting 2026</x:v>
      </x:c>
      <x:c r="H7" t="str">
        <x:v>Motif Lights / Ropelight</x:v>
      </x:c>
    </x:row>
    <x:row r="8">
      <x:c r="A8" t="str">
        <x:v>HB KIPPA RING</x:v>
      </x:c>
      <x:c r="B8" t="str">
        <x:v>16</x:v>
      </x:c>
      <x:c r="C8" t="str">
        <x:v>XL0000662</x:v>
      </x:c>
      <x:c r="D8" t="str">
        <x:v>Ropelight Happy Santa Twinkle Red-Green-Cool</x:v>
      </x:c>
      <x:c r="E8" s="23" t="n">
        <x:v>1</x:v>
      </x:c>
      <x:c r="F8" s="23" t="n">
        <x:v>4</x:v>
      </x:c>
      <x:c r="G8" t="str">
        <x:v>Christmas Lighting 2026</x:v>
      </x:c>
      <x:c r="H8" t="str">
        <x:v>Motif Lights / Ropelight</x:v>
      </x:c>
    </x:row>
    <x:row r="9">
      <x:c r="A9" t="str">
        <x:v>HB ORION</x:v>
      </x:c>
      <x:c r="B9" t="str">
        <x:v>14</x:v>
      </x:c>
      <x:c r="C9" t="str">
        <x:v>XL0000676</x:v>
      </x:c>
      <x:c r="D9" t="str">
        <x:v>Ropelight Tree PVC Lace Twinkle Asst</x:v>
      </x:c>
      <x:c r="E9" s="23" t="n">
        <x:v>1</x:v>
      </x:c>
      <x:c r="F9" s="23" t="n">
        <x:v>4</x:v>
      </x:c>
      <x:c r="G9" t="str">
        <x:v>Christmas Lighting 2026</x:v>
      </x:c>
      <x:c r="H9" t="str">
        <x:v>Motif Lights / Ropelight</x:v>
      </x:c>
    </x:row>
    <x:row r="10">
      <x:c r="A10" t="str">
        <x:v>HB ORION</x:v>
      </x:c>
      <x:c r="B10" t="str">
        <x:v>15</x:v>
      </x:c>
      <x:c r="C10" t="str">
        <x:v>XL0000662</x:v>
      </x:c>
      <x:c r="D10" t="str">
        <x:v>Ropelight Happy Santa Twinkle Red-Green-Cool</x:v>
      </x:c>
      <x:c r="E10" s="23" t="n">
        <x:v>1</x:v>
      </x:c>
      <x:c r="F10" s="23" t="n">
        <x:v>4</x:v>
      </x:c>
      <x:c r="G10" t="str">
        <x:v>Christmas Lighting 2026</x:v>
      </x:c>
      <x:c r="H10" t="str">
        <x:v>Motif Lights / Ropelight</x:v>
      </x:c>
    </x:row>
    <x:row r="11">
      <x:c r="A11" t="str">
        <x:v>HB ORION</x:v>
      </x:c>
      <x:c r="B11" t="str">
        <x:v>15</x:v>
      </x:c>
      <x:c r="C11" t="str">
        <x:v>XL0000668</x:v>
      </x:c>
      <x:c r="D11" t="str">
        <x:v>Ropelight Santa Airplane Spinning Prop</x:v>
      </x:c>
      <x:c r="E11" s="23" t="n">
        <x:v>1</x:v>
      </x:c>
      <x:c r="F11" s="23" t="n">
        <x:v>4</x:v>
      </x:c>
      <x:c r="G11" t="str">
        <x:v>Christmas Lighting 2026</x:v>
      </x:c>
      <x:c r="H11" t="str">
        <x:v>Motif Lights / Ropelight</x:v>
      </x:c>
    </x:row>
    <x:row r="12">
      <x:c r="A12" t="str">
        <x:v>HB SPRINGFIELD</x:v>
      </x:c>
      <x:c r="B12" t="str">
        <x:v>9</x:v>
      </x:c>
      <x:c r="C12" t="str">
        <x:v>XL0000668</x:v>
      </x:c>
      <x:c r="D12" t="str">
        <x:v>Ropelight Santa Airplane Spinning Prop</x:v>
      </x:c>
      <x:c r="E12" s="23" t="n">
        <x:v>1</x:v>
      </x:c>
      <x:c r="F12" s="23" t="n">
        <x:v>4</x:v>
      </x:c>
      <x:c r="G12" t="str">
        <x:v>Christmas Lighting 2026</x:v>
      </x:c>
      <x:c r="H12" t="str">
        <x:v>Motif Lights / Ropelight</x:v>
      </x:c>
    </x:row>
    <x:row r="13">
      <x:c r="A13" t="str">
        <x:v>HB SPRINGFIELD</x:v>
      </x:c>
      <x:c r="B13" t="str">
        <x:v>10</x:v>
      </x:c>
      <x:c r="C13" t="str">
        <x:v>XL0000662</x:v>
      </x:c>
      <x:c r="D13" t="str">
        <x:v>Ropelight Happy Santa Twinkle Red-Green-Cool</x:v>
      </x:c>
      <x:c r="E13" s="23" t="n">
        <x:v>2</x:v>
      </x:c>
      <x:c r="F13" s="23" t="n">
        <x:v>8</x:v>
      </x:c>
      <x:c r="G13" t="str">
        <x:v>Christmas Lighting 2026</x:v>
      </x:c>
      <x:c r="H13" t="str">
        <x:v>Motif Lights / Ropelight</x:v>
      </x:c>
    </x:row>
    <x:row r="14">
      <x:c r="A14" t="str">
        <x:v>HB SPRINGFIELD</x:v>
      </x:c>
      <x:c r="B14" t="str">
        <x:v>10</x:v>
      </x:c>
      <x:c r="C14" t="str">
        <x:v>XL0000676</x:v>
      </x:c>
      <x:c r="D14" t="str">
        <x:v>Ropelight Tree PVC Lace Twinkle Asst</x:v>
      </x:c>
      <x:c r="E14" s="23" t="n">
        <x:v>5</x:v>
      </x:c>
      <x:c r="F14" s="23" t="n">
        <x:v>20</x:v>
      </x:c>
      <x:c r="G14" t="str">
        <x:v>Christmas Lighting 2026</x:v>
      </x:c>
      <x:c r="H14" t="str">
        <x:v>Motif Lights / Ropelight</x:v>
      </x:c>
    </x:row>
    <x:row r="15">
      <x:c r="A15" s="39" t="str">
        <x:v>合计</x:v>
      </x:c>
      <x:c r="B15" s="39" t="str"/>
      <x:c r="C15" s="39" t="str"/>
      <x:c r="D15" s="39" t="str"/>
      <x:c r="E15" s="39" t="n">
        <x:f>SUM(E5:E14)</x:f>
        <x:v>20</x:v>
      </x:c>
      <x:c r="F15" s="39" t="n">
        <x:f>SUM(F5:F14)</x:f>
        <x:v>84</x:v>
      </x:c>
      <x:c r="G15" s="39" t="str"/>
      <x:c r="H15" s="39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1a595f44d804e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0" hidden="0" customWidth="1"/>
    <x:col min="3" max="3" width="2.2200000286102295" hidden="0" customWidth="1"/>
    <x:col min="4" max="4" width="2.2200000286102295" hidden="0" customWidth="1"/>
  </x:cols>
  <x:sheetData>
    <x:row r="1" ht="30" customHeight="1">
      <x:c r="A1" s="4" t="str">
        <x:v>V0007551 数据核对说明</x:v>
      </x:c>
      <x:c r="B1" s="4" t="str">
        <x:v>V0007551 数据核对说明</x:v>
      </x:c>
      <x:c r="C1" s="4" t="str">
        <x:v>V0007551 数据核对说明</x:v>
      </x:c>
      <x:c r="D1" s="4" t="str">
        <x:v>V0007551 数据核对说明</x:v>
      </x:c>
    </x:row>
    <x:row r="2" ht="30" customHeight="1">
      <x:c r="A2" s="8" t="str">
        <x:v>本工作簿未修改原装箱单；汇总基于 1,114 条商品明细及三个目录的 SKU 对应结果。</x:v>
      </x:c>
      <x:c r="B2" s="8" t="str">
        <x:v>本工作簿未修改原装箱单；汇总基于 1,114 条商品明细及三个目录的 SKU 对应结果。</x:v>
      </x:c>
      <x:c r="C2" s="8" t="str">
        <x:v>本工作簿未修改原装箱单；汇总基于 1,114 条商品明细及三个目录的 SKU 对应结果。</x:v>
      </x:c>
      <x:c r="D2" s="8" t="str">
        <x:v>本工作簿未修改原装箱单；汇总基于 1,114 条商品明细及三个目录的 SKU 对应结果。</x:v>
      </x:c>
    </x:row>
    <x:row r="4" ht="32" customHeight="1">
      <x:c r="A4" s="20" t="str">
        <x:v>核对项目</x:v>
      </x:c>
      <x:c r="B4" s="22" t="str">
        <x:v>结果</x:v>
      </x:c>
    </x:row>
    <x:row r="5">
      <x:c r="A5" t="str">
        <x:v>装箱单商品明细行数</x:v>
      </x:c>
      <x:c r="B5" s="40" t="n">
        <x:v>1114</x:v>
      </x:c>
    </x:row>
    <x:row r="6">
      <x:c r="A6" t="str">
        <x:v>不同SKU数量</x:v>
      </x:c>
      <x:c r="B6" s="40" t="n">
        <x:v>530</x:v>
      </x:c>
    </x:row>
    <x:row r="7">
      <x:c r="A7" t="str">
        <x:v>成功分类SKU</x:v>
      </x:c>
      <x:c r="B7" s="40" t="n">
        <x:v>530</x:v>
      </x:c>
    </x:row>
    <x:row r="8">
      <x:c r="A8" t="str">
        <x:v>编号托盘数量</x:v>
      </x:c>
      <x:c r="B8" s="40" t="n">
        <x:f>COUNTIF('每店每托盘分类'!$B$5:$B$30,"&lt;&gt;Loose")</x:f>
        <x:v>21</x:v>
      </x:c>
    </x:row>
    <x:row r="9">
      <x:c r="A9" t="str">
        <x:v>Loose散货组数</x:v>
      </x:c>
      <x:c r="B9" s="40" t="n">
        <x:f>COUNTIF('每店每托盘分类'!$B$5:$B$30,"Loose")</x:f>
        <x:v>5</x:v>
      </x:c>
    </x:row>
    <x:row r="10">
      <x:c r="A10" s="41" t="str">
        <x:v>明细及分店小计箱数</x:v>
      </x:c>
      <x:c r="B10" s="42" t="n">
        <x:f>SUM('每店每托盘分类'!$C$5:$C$30)</x:f>
        <x:v>1636</x:v>
      </x:c>
    </x:row>
    <x:row r="11">
      <x:c r="A11" s="41" t="str">
        <x:v>原装箱单底部总计箱数</x:v>
      </x:c>
      <x:c r="B11" s="42" t="n">
        <x:v>1603.5</x:v>
      </x:c>
    </x:row>
    <x:row r="12">
      <x:c r="A12" s="43" t="str">
        <x:v>箱数差异</x:v>
      </x:c>
      <x:c r="B12" s="44" t="n">
        <x:f>B10-B11</x:f>
        <x:v>32.5</x:v>
      </x:c>
    </x:row>
    <x:row r="13">
      <x:c r="A13" t="str">
        <x:v>总件数</x:v>
      </x:c>
      <x:c r="B13" s="40" t="n">
        <x:f>SUM('每店每托盘分类'!$D$5:$D$30)</x:f>
        <x:v>29668</x:v>
      </x:c>
    </x:row>
    <x:row r="14">
      <x:c r="A14" t="str">
        <x:v>万圣节箱数</x:v>
      </x:c>
      <x:c r="B14" s="40" t="n">
        <x:f>SUM('每店每托盘分类'!$E$5:$E$30)</x:f>
        <x:v>771</x:v>
      </x:c>
    </x:row>
    <x:row r="15">
      <x:c r="A15" t="str">
        <x:v>圣诞普通商品箱数</x:v>
      </x:c>
      <x:c r="B15" s="40" t="n">
        <x:f>SUM('每店每托盘分类'!$F$5:$F$30)</x:f>
        <x:v>562</x:v>
      </x:c>
    </x:row>
    <x:row r="16">
      <x:c r="A16" t="str">
        <x:v>圣诞灯饰箱数</x:v>
      </x:c>
      <x:c r="B16" s="40" t="n">
        <x:f>SUM('每店每托盘分类'!$G$5:$G$30)</x:f>
        <x:v>303</x:v>
      </x:c>
    </x:row>
    <x:row r="17">
      <x:c r="A17" t="str">
        <x:v>Ropelight箱数</x:v>
      </x:c>
      <x:c r="B17" s="40" t="n">
        <x:f>SUM('每店每托盘分类'!$H$5:$H$30)</x:f>
        <x:v>20</x:v>
      </x:c>
    </x:row>
    <x:row r="19">
      <x:c r="A19" s="10" t="str">
        <x:v>分类方法与来源文件</x:v>
      </x:c>
      <x:c r="B19" s="10"/>
      <x:c r="C19" s="10"/>
      <x:c r="D19" s="10"/>
    </x:row>
    <x:row r="20" ht="44" customHeight="1">
      <x:c r="A20" s="47" t="str">
        <x:v>分类方法</x:v>
      </x:c>
      <x:c r="B20" s="26" t="str">
        <x:v>优先按 SKU 精确匹配目录；4 个万圣节服装编码带 XL 尺码后缀，按基础 SKU 匹配。</x:v>
      </x:c>
    </x:row>
    <x:row r="21" ht="44" customHeight="1">
      <x:c r="A21" s="47" t="str">
        <x:v>装箱单</x:v>
      </x:c>
      <x:c r="B21" s="26" t="str">
        <x:v>/Users/sean/Library/CloudStorage/OneDrive-个人/SynologyDrive/XMAS/2026 Xmas/KFC/到货货柜/V0007551 - HBPEN01 - UBA - Palletised Packing List - Halloween.xlsx</x:v>
      </x:c>
    </x:row>
    <x:row r="22" ht="44" customHeight="1">
      <x:c r="A22" s="47" t="str">
        <x:v>万圣节目录</x:v>
      </x:c>
      <x:c r="B22" s="26" t="str">
        <x:v>/Users/sean/Library/CloudStorage/OneDrive-个人/SynologyDrive/XMAS/2026 Xmas/KFC/Halloween Catalogue - 2026 - AU - HR.pdf</x:v>
      </x:c>
    </x:row>
    <x:row r="23" ht="44" customHeight="1">
      <x:c r="A23" s="47" t="str">
        <x:v>圣诞普通目录</x:v>
      </x:c>
      <x:c r="B23" s="26" t="str">
        <x:v>/Users/sean/Library/CloudStorage/OneDrive-个人/SynologyDrive/XMAS/2026 Xmas/KFC/Christmas General - 2026 - AU - HR.pdf</x:v>
      </x:c>
    </x:row>
    <x:row r="24" ht="44" customHeight="1">
      <x:c r="A24" s="47" t="str">
        <x:v>圣诞灯饰目录</x:v>
      </x:c>
      <x:c r="B24" s="26" t="str">
        <x:v>/Users/sean/Library/CloudStorage/OneDrive-个人/SynologyDrive/XMAS/2026 Xmas/KFC/Christmas Lighting - 2026 - AU - HR.pdf</x:v>
      </x:c>
    </x:row>
  </x:sheetData>
  <x:mergeCells>
    <x:mergeCell ref="A1:D1"/>
    <x:mergeCell ref="A2:D2"/>
    <x:mergeCell ref="A19:D19"/>
  </x:mergeCells>
  <x:pageMargins left="0.7" right="0.7" top="0.75" bottom="0.75" header="0.3" footer="0.3"/>
</x:worksheet>
</file>