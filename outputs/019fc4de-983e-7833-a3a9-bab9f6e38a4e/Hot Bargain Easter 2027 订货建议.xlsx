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综合明细" sheetId="3" r:id="rId1"/>
    <sheet name="Data" sheetId="1" r:id="rId2"/>
    <sheet name="Query" sheetId="2" r:id="rId3"/>
    <sheet name="高峰与库存判断" sheetId="4" r:id="rId4"/>
    <sheet name="进货对账" sheetId="5" r:id="rId5"/>
    <sheet name="售价销量汇总" sheetId="6" r:id="rId6"/>
    <sheet name="2026进货数量" sheetId="7" r:id="rId7"/>
    <sheet name="2026供应商退货" sheetId="8" r:id="rId8"/>
    <sheet name="2026净销售数量" sheetId="9" r:id="rId9"/>
    <sheet name="2027建议订货量" sheetId="10" r:id="rId10"/>
    <sheet name="建议原因" sheetId="11" r:id="rId11"/>
    <sheet name="口径与门店映射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<sst xmlns="http://schemas.openxmlformats.org/spreadsheetml/2006/main" count="1865" uniqueCount="485">
  <si>
    <t>2026复活节卡片分店综合明细及2027订货建议</t>
  </si>
  <si>
    <t>每个分店名称合并覆盖5个卡片货号；按历史订单 Price 归为 $1、$2、$3 三档：$0.50归$1，$2.99归$3。</t>
  </si>
  <si>
    <t>全部分店/卡片合计</t>
  </si>
  <si>
    <t>$1 + $2 + $3 = 净销量</t>
  </si>
  <si>
    <t>3/26:282  3/27:292  3/28:243  3/29:201  3/30:409  3/31:471  4/1:505
▅ ▅ ▄ ▄ ▇ █ █</t>
  </si>
  <si>
    <t>分店名称</t>
  </si>
  <si>
    <t>卡片货号</t>
  </si>
  <si>
    <t>商品名称</t>
  </si>
  <si>
    <t>主要成交零售价</t>
  </si>
  <si>
    <t>进货数量</t>
  </si>
  <si>
    <t>销售数量（净）</t>
  </si>
  <si>
    <t>$1销量（含$0.50）</t>
  </si>
  <si>
    <t>$2销量</t>
  </si>
  <si>
    <t>$3销量（含$2.99）</t>
  </si>
  <si>
    <t>退供应商数量（季后库存）</t>
  </si>
  <si>
    <t>2027订货建议</t>
  </si>
  <si>
    <t>建议较进货变化</t>
  </si>
  <si>
    <t>Sean Ordered</t>
  </si>
  <si>
    <t>原因分析</t>
  </si>
  <si>
    <t>最后7天日销量图（3/26–4/1）</t>
  </si>
  <si>
    <t>Robinson Road</t>
  </si>
  <si>
    <t>BEAC072</t>
  </si>
  <si>
    <t>Deluxe Easter Card Stand 144 Pieces</t>
  </si>
  <si>
    <t>$2.00</t>
  </si>
  <si>
    <t>3/26:1  3/27:4  3/28:2  3/29:0  3/30:6  3/31:1  4/1:4
▂ ▆ ▃ · █ ▂ ▆</t>
  </si>
  <si>
    <t>EA258</t>
  </si>
  <si>
    <t>World Greetings Easter Card Stand 144 Pieces</t>
  </si>
  <si>
    <t>3/26:1  3/27:0  3/28:3  3/29:1  3/30:4  3/31:6  4/1:3
▂ · ▄ ▂ ▆ █ ▄</t>
  </si>
  <si>
    <t>BEAC130</t>
  </si>
  <si>
    <t>Elegance Easter Card Stand 144 Pieces</t>
  </si>
  <si>
    <t>$3（含$2.99/$3.00）</t>
  </si>
  <si>
    <t>3/26:1  3/27:1  3/28:6  3/29:2  3/30:2  3/31:1  4/1:1
▂ ▂ █ ▃ ▃ ▂ ▂</t>
  </si>
  <si>
    <t>BEAC071</t>
  </si>
  <si>
    <t>Apsley Easter Card Stand 300 Pieces</t>
  </si>
  <si>
    <t>$1（含$0.50/$1.00）</t>
  </si>
  <si>
    <t>3/26:0  3/27:0  3/28:0  3/29:0  3/30:0  3/31:0  4/1:0
· · · · · · ·</t>
  </si>
  <si>
    <t>EA256</t>
  </si>
  <si>
    <t>Jordan Easter Card Stand 300 Pieces</t>
  </si>
  <si>
    <t>混合：$1/$2</t>
  </si>
  <si>
    <t>Peninsula Fair</t>
  </si>
  <si>
    <t>3/26:2  3/27:8  3/28:0  3/29:2  3/30:19  3/31:11  4/1:9
▁ ▄ · ▁ █ ▅ ▄</t>
  </si>
  <si>
    <t>3/26:11  3/27:6  3/28:3  3/29:1  3/30:14  3/31:14  4/1:8
▇ ▄ ▂ ▁ █ █ ▅</t>
  </si>
  <si>
    <t>3/26:1  3/27:3  3/28:2  3/29:4  3/30:3  3/31:3  4/1:1
▂ ▆ ▄ █ ▆ ▆ ▂</t>
  </si>
  <si>
    <t>Campbelltown</t>
  </si>
  <si>
    <t>3/26:1  3/27:0  3/28:1  3/29:0  3/30:3  3/31:0  4/1:1
▃ · ▃ · █ · ▃</t>
  </si>
  <si>
    <t>3/26:13  3/27:11  3/28:32  3/29:6  3/30:4  3/31:12  4/1:4
▄ ▃ █ ▂ ▁ ▃ ▁</t>
  </si>
  <si>
    <t>3/26:22  3/27:10  3/28:1  3/29:6  3/30:4  3/31:6  4/1:13
█ ▄ ▁ ▃ ▂ ▃ ▅</t>
  </si>
  <si>
    <t>Charlestown Square</t>
  </si>
  <si>
    <t>3/26:2  3/27:2  3/28:1  3/29:3  3/30:4  3/31:7  4/1:13
▂ ▂ ▁ ▂ ▃ ▅ █</t>
  </si>
  <si>
    <t>3/26:8  3/27:4  3/28:3  3/29:11  3/30:8  3/31:10  4/1:11
▆ ▃ ▃ █ ▆ █ █</t>
  </si>
  <si>
    <t>3/26:13  3/27:7  3/28:3  3/29:4  3/30:1  3/31:11  4/1:6
█ ▅ ▂ ▃ ▁ ▇ ▄</t>
  </si>
  <si>
    <t>Jesmond</t>
  </si>
  <si>
    <t>3/26:0  3/27:0  3/28:0  3/29:0  3/30:1  3/31:1  4/1:0
· · · · █ █ ·</t>
  </si>
  <si>
    <t>3/26:2  3/27:0  3/28:4  3/29:0  3/30:1  3/31:4  4/1:2
▄ · █ · ▂ █ ▄</t>
  </si>
  <si>
    <t>Pender Place</t>
  </si>
  <si>
    <t>3/26:7  3/27:2  3/28:2  3/29:12  3/30:6  3/31:2  4/1:9
▅ ▂ ▂ █ ▄ ▂ ▆</t>
  </si>
  <si>
    <t>3/26:0  3/27:5  3/28:3  3/29:12  3/30:12  3/31:5  4/1:2
· ▄ ▂ █ █ ▄ ▂</t>
  </si>
  <si>
    <t>Lake Haven</t>
  </si>
  <si>
    <t>3/26:6  3/27:3  3/28:7  3/29:0  3/30:9  3/31:7  4/1:11
▅ ▃ ▆ · ▇ ▆ █</t>
  </si>
  <si>
    <t>3/26:3  3/27:1  3/28:3  3/29:1  3/30:9  3/31:12  4/1:3
▂ ▁ ▂ ▁ ▆ █ ▂</t>
  </si>
  <si>
    <t>3/26:5  3/27:1  3/28:14  3/29:1  3/30:4  3/31:5  4/1:7
▃ ▁ █ ▁ ▃ ▃ ▄</t>
  </si>
  <si>
    <t>3/26:10  3/27:6  3/28:2  3/29:4  3/30:3  3/31:13  4/1:3
▇ ▄ ▂ ▃ ▂ █ ▂</t>
  </si>
  <si>
    <t>3/26:13  3/27:5  3/28:0  3/29:1  3/30:5  3/31:4  4/1:2
█ ▄ · ▁ ▄ ▃ ▂</t>
  </si>
  <si>
    <t>Forster</t>
  </si>
  <si>
    <t>3/26:4  3/27:3  3/28:13  3/29:2  3/30:2  3/31:8  4/1:7
▃ ▂ █ ▂ ▂ ▅ ▅</t>
  </si>
  <si>
    <t>3/26:0  3/27:12  3/28:4  3/29:2  3/30:8  3/31:5  4/1:10
· █ ▃ ▂ ▆ ▄ ▇</t>
  </si>
  <si>
    <t>Glendale</t>
  </si>
  <si>
    <t>3/26:3  3/27:4  3/28:9  3/29:4  3/30:8  3/31:3  4/1:5
▃ ▄ █ ▄ █ ▃ ▅</t>
  </si>
  <si>
    <t>3/26:7  3/27:1  3/28:3  3/29:0  3/30:3  3/31:2  4/1:4
█ ▂ ▄ · ▄ ▃ ▅</t>
  </si>
  <si>
    <t>3/26:6  3/27:7  3/28:3  3/29:4  3/30:5  3/31:14  4/1:12
▄ ▄ ▂ ▃ ▃ █ ▇</t>
  </si>
  <si>
    <t>Orion</t>
  </si>
  <si>
    <t>3/26:5  3/27:1  3/28:4  3/29:0  3/30:4  3/31:2  4/1:1
█ ▂ ▇ · ▇ ▄ ▂</t>
  </si>
  <si>
    <t>3/26:1  3/27:4  3/28:1  3/29:0  3/30:5  3/31:1  4/1:5
▂ ▇ ▂ · █ ▂ █</t>
  </si>
  <si>
    <t>3/26:1  3/27:3  3/28:3  3/29:0  3/30:3  3/31:5  4/1:1
▂ ▅ ▅ · ▅ █ ▂</t>
  </si>
  <si>
    <t>Kawana</t>
  </si>
  <si>
    <t>3/26:11  3/27:6  3/28:6  3/29:6  3/30:1  3/31:5  4/1:1
█ ▅ ▅ ▅ ▁ ▄ ▁</t>
  </si>
  <si>
    <t>3/26:7  3/27:1  3/28:4  3/29:0  3/30:7  3/31:4  4/1:5
█ ▂ ▅ · █ ▅ ▆</t>
  </si>
  <si>
    <t>3/26:11  3/27:4  3/28:5  3/29:6  3/30:2  3/31:1  4/1:1
█ ▃ ▄ ▅ ▂ ▁ ▁</t>
  </si>
  <si>
    <t>Cronulla</t>
  </si>
  <si>
    <t>3/26:2  3/27:7  3/28:1  3/29:11  3/30:8  3/31:13  4/1:15
▂ ▄ ▁ ▆ ▅ ▇ █</t>
  </si>
  <si>
    <t>3/26:1  3/27:2  3/28:2  3/29:0  3/30:5  3/31:5  4/1:3
▂ ▄ ▄ · █ █ ▅</t>
  </si>
  <si>
    <t>3/26:7  3/27:8  3/28:4  3/29:9  3/30:4  3/31:2  4/1:20
▃ ▄ ▂ ▄ ▂ ▁ █</t>
  </si>
  <si>
    <t>3/26:2  3/27:3  3/28:6  3/29:6  3/30:4  3/31:10  4/1:6
▂ ▃ ▅ ▅ ▄ █ ▅</t>
  </si>
  <si>
    <t>3/26:2  3/27:3  3/28:2  3/29:7  3/30:12  3/31:16  4/1:28
▁ ▁ ▁ ▂ ▄ ▅ █</t>
  </si>
  <si>
    <t>Greenhills</t>
  </si>
  <si>
    <t>3/26:1  3/27:7  3/28:3  3/29:13  3/30:3  3/31:7  4/1:8
▁ ▅ ▂ █ ▂ ▅ ▅</t>
  </si>
  <si>
    <t>3/26:0  3/27:0  3/28:0  3/29:0  3/30:1  3/31:0  4/1:1
· · · · █ · █</t>
  </si>
  <si>
    <t>3/26:5  3/27:2  3/28:0  3/29:4  3/30:14  3/31:10  4/1:4
▃ ▂ · ▃ █ ▆ ▃</t>
  </si>
  <si>
    <t>Waratah</t>
  </si>
  <si>
    <t>3/26:8  3/27:19  3/28:1  3/29:3  3/30:25  3/31:9  4/1:16
▃ ▇ ▁ ▁ █ ▃ ▆</t>
  </si>
  <si>
    <t>3/26:3  3/27:9  3/28:1  3/29:4  3/30:6  3/31:7  4/1:12
▂ ▆ ▁ ▃ ▄ ▅ █</t>
  </si>
  <si>
    <t>3/26:1  3/27:14  3/28:4  3/29:0  3/30:16  3/31:6  4/1:6
▁ ▇ ▂ · █ ▃ ▃</t>
  </si>
  <si>
    <t>3/26:3  3/27:5  3/28:3  3/29:7  3/30:9  3/31:42  4/1:29
▁ ▁ ▁ ▂ ▂ █ ▆</t>
  </si>
  <si>
    <t>Toukley</t>
  </si>
  <si>
    <t>3/26:1  3/27:2  3/28:0  3/29:0  3/30:5  3/31:5  4/1:2
▂ ▄ · · █ █ ▄</t>
  </si>
  <si>
    <t>3/26:7  3/27:2  3/28:0  3/29:0  3/30:5  3/31:6  4/1:3
█ ▃ · · ▆ ▇ ▄</t>
  </si>
  <si>
    <t>Warners Bay</t>
  </si>
  <si>
    <t>3/26:6  3/27:15  3/28:6  3/29:2  3/30:14  3/31:13  4/1:28
▂ ▅ ▂ ▁ ▄ ▄ █</t>
  </si>
  <si>
    <t>3/26:1  3/27:4  3/28:1  3/29:4  3/30:1  3/31:8  4/1:14
▁ ▃ ▁ ▃ ▁ ▅ █</t>
  </si>
  <si>
    <t>Wallsend</t>
  </si>
  <si>
    <t>3/26:6  3/27:9  3/28:2  3/29:1  3/30:13  3/31:10  4/1:9
▄ ▆ ▂ ▁ █ ▇ ▆</t>
  </si>
  <si>
    <t>3/26:0  3/27:0  3/28:0  3/29:0  3/30:0  3/31:8  4/1:8
· · · · · █ █</t>
  </si>
  <si>
    <t>Raymond Terrace</t>
  </si>
  <si>
    <t>3/26:7  3/27:3  3/28:1  3/29:1  3/30:6  3/31:20  4/1:1
▃ ▂ ▁ ▁ ▃ █ ▁</t>
  </si>
  <si>
    <t>3/26:1  3/27:0  3/28:0  3/29:0  3/30:0  3/31:0  4/1:0
█ · · · · · ·</t>
  </si>
  <si>
    <t>Oran Park</t>
  </si>
  <si>
    <t>3/26:1  3/27:12  3/28:6  3/29:0  3/30:26  3/31:2  4/1:18
▁ ▄ ▂ · █ ▁ ▆</t>
  </si>
  <si>
    <t>3/26:4  3/27:2  3/28:4  3/29:0  3/30:2  3/31:7  4/1:3
▅ ▃ ▅ · ▃ █ ▄</t>
  </si>
  <si>
    <t>Bankstown</t>
  </si>
  <si>
    <t>3/26:3  3/27:1  3/28:8  3/29:2  3/30:6  3/31:3  4/1:10
▃ ▁ ▇ ▂ ▅ ▃ █</t>
  </si>
  <si>
    <t>3/26:0  3/27:4  3/28:3  3/29:1  3/30:5  3/31:0  4/1:0
· ▇ ▅ ▂ █ · ·</t>
  </si>
  <si>
    <t>Tuggerah</t>
  </si>
  <si>
    <t>3/26:0  3/27:1  3/28:2  3/29:0  3/30:5  3/31:8  4/1:2
· ▁ ▂ · ▅ █ ▂</t>
  </si>
  <si>
    <t>3/26:2  3/27:3  3/28:5  3/29:1  3/30:9  3/31:17  4/1:14
▁ ▂ ▃ ▁ ▅ █ ▇</t>
  </si>
  <si>
    <t>3/26:3  3/27:2  3/28:1  3/29:3  3/30:4  3/31:1  4/1:6
▄ ▃ ▂ ▄ ▆ ▂ █</t>
  </si>
  <si>
    <t>Kotara</t>
  </si>
  <si>
    <t>3/26:4  3/27:3  3/28:1  3/29:3  3/30:8  3/31:20  4/1:19
▂ ▂ ▁ ▂ ▄ █ █</t>
  </si>
  <si>
    <t>3/26:7  3/27:7  3/28:2  3/29:3  3/30:5  3/31:20  4/1:22
▃ ▃ ▁ ▂ ▂ █ █</t>
  </si>
  <si>
    <t>3/26:2  3/27:1  3/28:4  3/29:1  3/30:4  3/31:1  4/1:11
▂ ▁ ▃ ▁ ▃ ▁ █</t>
  </si>
  <si>
    <t>Southport Park</t>
  </si>
  <si>
    <t>3/26:3  3/27:7  3/28:11  3/29:3  3/30:5  3/31:4  4/1:5
▃ ▆ █ ▃ ▄ ▃ ▄</t>
  </si>
  <si>
    <t>3/26:0  3/27:2  3/28:0  3/29:0  3/30:0  3/31:1  4/1:6
· ▃ · · · ▂ █</t>
  </si>
  <si>
    <t>Top Ryde</t>
  </si>
  <si>
    <t>3/26:6  3/27:4  3/28:5  3/29:5  3/30:6  3/31:4  4/1:2
█ ▆ ▇ ▇ █ ▆ ▃</t>
  </si>
  <si>
    <t>3/26:5  3/27:4  3/28:7  3/29:12  3/30:3  3/31:1  4/1:9
▄ ▃ ▅ █ ▂ ▁ ▆</t>
  </si>
  <si>
    <t>Discount General Charlestown</t>
  </si>
  <si>
    <t>HB Warehouse</t>
  </si>
  <si>
    <t>Customer Customer Group Name</t>
  </si>
  <si>
    <t>Customer Code</t>
  </si>
  <si>
    <t>Customer Name</t>
  </si>
  <si>
    <t>Product Code</t>
  </si>
  <si>
    <t>Product Name</t>
  </si>
  <si>
    <t xml:space="preserve"> INVOICE (Value)</t>
  </si>
  <si>
    <t xml:space="preserve"> INVOICE (Quantity)</t>
  </si>
  <si>
    <t xml:space="preserve"> CREDIT (Value)</t>
  </si>
  <si>
    <t xml:space="preserve"> CREDIT (Quantity)</t>
  </si>
  <si>
    <t>Hot Bargain</t>
  </si>
  <si>
    <t>HOTBAWA</t>
  </si>
  <si>
    <t>HOT BARGAIN WARATAH</t>
  </si>
  <si>
    <t>BEAC073</t>
  </si>
  <si>
    <t>Deluxe Easter Pack - 50 Cards</t>
  </si>
  <si>
    <t>BEAC131</t>
  </si>
  <si>
    <t>Elegance Easter Pack - 24 Cards</t>
  </si>
  <si>
    <t>EA289</t>
  </si>
  <si>
    <t>Easter Gift Bag Jumbo - Assorted</t>
  </si>
  <si>
    <t>EA288</t>
  </si>
  <si>
    <t>Easter Gift Bag Large - Assorted</t>
  </si>
  <si>
    <t>EA287</t>
  </si>
  <si>
    <t>Easter Gift Bag Medium - Assorted</t>
  </si>
  <si>
    <t>EA286</t>
  </si>
  <si>
    <t>Easter Gift Bag Small - Assorted</t>
  </si>
  <si>
    <t>HOTBCR</t>
  </si>
  <si>
    <t>HOT BARGAIN CRONULLA</t>
  </si>
  <si>
    <t>EA069</t>
  </si>
  <si>
    <t>Easter Cello Roll Wrap 3mx760mm</t>
  </si>
  <si>
    <t>EA259</t>
  </si>
  <si>
    <t>World Greetings Easter Pack - 50 Cards</t>
  </si>
  <si>
    <t>BISEA72</t>
  </si>
  <si>
    <t>Apsley Easter Pack - 72 Cards</t>
  </si>
  <si>
    <t>BEAC119</t>
  </si>
  <si>
    <t>Apsley Easter Pack - 60 Cards</t>
  </si>
  <si>
    <t>EA257</t>
  </si>
  <si>
    <t>Jordan Easter Pack - 60 Cards</t>
  </si>
  <si>
    <t>HOTKOR</t>
  </si>
  <si>
    <t>HOT BARGAIN KOTARA</t>
  </si>
  <si>
    <t>HOTKAW</t>
  </si>
  <si>
    <t>HOT BARGAIN KAWANA</t>
  </si>
  <si>
    <t>SAVVYS</t>
  </si>
  <si>
    <t>SAVVY SAVE ORAN PARK</t>
  </si>
  <si>
    <t>HOTLAK</t>
  </si>
  <si>
    <t>HOT BARGAIN LAKE HAVEN</t>
  </si>
  <si>
    <t>HOTCAMB</t>
  </si>
  <si>
    <t>HOT BARGAIN CAMPBELLTOWN MALL</t>
  </si>
  <si>
    <t>HOTPEN</t>
  </si>
  <si>
    <t>HOT BARGAIN PENINSULA FAIR</t>
  </si>
  <si>
    <t>HOTSTH</t>
  </si>
  <si>
    <t>HOT BARGAIN SOUTHPORT PARK</t>
  </si>
  <si>
    <t>HOTTPR</t>
  </si>
  <si>
    <t>HOT BARGAIN TOP RYDE</t>
  </si>
  <si>
    <t>HOTGLN</t>
  </si>
  <si>
    <t>HOT BARGAIN GLENDALE</t>
  </si>
  <si>
    <t>HOTFST</t>
  </si>
  <si>
    <t>HOT BARGAIN FORSTER</t>
  </si>
  <si>
    <t>DISCHL</t>
  </si>
  <si>
    <t>DISCOUNT GENERAL CHARLESTOWN</t>
  </si>
  <si>
    <t>HOTCHL</t>
  </si>
  <si>
    <t>HOT BARGAIN CHARLESTOWN SQUARE</t>
  </si>
  <si>
    <t>HOTWBA</t>
  </si>
  <si>
    <t>HOT BARGAIN WARNERS BAY</t>
  </si>
  <si>
    <t>HOTGRE</t>
  </si>
  <si>
    <t>HOT BARGAIN GREENHILLS</t>
  </si>
  <si>
    <t>HOBRTC</t>
  </si>
  <si>
    <t>HOT BARGAIN AUSTRALIAN PTY LTD</t>
  </si>
  <si>
    <t>PARTGO</t>
  </si>
  <si>
    <t>PARTY GO</t>
  </si>
  <si>
    <t>HOTSPR</t>
  </si>
  <si>
    <t>HOT BARGAIN SPRINGFIELD</t>
  </si>
  <si>
    <t>HOTBWA</t>
  </si>
  <si>
    <t>HOT BARGAIN WALLSEND</t>
  </si>
  <si>
    <t>HOTBJE</t>
  </si>
  <si>
    <t>HOT BARGAIN</t>
  </si>
  <si>
    <t>HOTTOU</t>
  </si>
  <si>
    <t>HOT BARGAIN TOUKLEY</t>
  </si>
  <si>
    <t>HOTROB</t>
  </si>
  <si>
    <t>HOT BARGAIN ROBINSON ROAD</t>
  </si>
  <si>
    <t>HOTMAT</t>
  </si>
  <si>
    <t>HOT BARGAIN MAITLAND</t>
  </si>
  <si>
    <t>Date Exported</t>
  </si>
  <si>
    <t>Last Verified</t>
  </si>
  <si>
    <t>User</t>
  </si>
  <si>
    <t>christap</t>
  </si>
  <si>
    <t>Database</t>
  </si>
  <si>
    <t>ARTWRAP Sales</t>
  </si>
  <si>
    <t>Mode</t>
  </si>
  <si>
    <t>Matrix</t>
  </si>
  <si>
    <t>Measures</t>
  </si>
  <si>
    <t>Value</t>
  </si>
  <si>
    <t>Quantity</t>
  </si>
  <si>
    <t>Dimension</t>
  </si>
  <si>
    <t>Product</t>
  </si>
  <si>
    <t>Filter</t>
  </si>
  <si>
    <t>Sales Only</t>
  </si>
  <si>
    <t>Format</t>
  </si>
  <si>
    <t>Actual</t>
  </si>
  <si>
    <t>Stream</t>
  </si>
  <si>
    <t>Sales</t>
  </si>
  <si>
    <t>Period</t>
  </si>
  <si>
    <t>Sep 2025 – May 2026</t>
  </si>
  <si>
    <t>Transaction Type</t>
  </si>
  <si>
    <t xml:space="preserve">    INVOICE ()</t>
  </si>
  <si>
    <t xml:space="preserve">    CREDIT ()</t>
  </si>
  <si>
    <t>Selections</t>
  </si>
  <si>
    <t>Customer Group</t>
  </si>
  <si>
    <t xml:space="preserve">    Selected (2)</t>
  </si>
  <si>
    <t xml:space="preserve">        276 (Hot Bargain)</t>
  </si>
  <si>
    <t xml:space="preserve">        471 (Hot Bargain - Leo)</t>
  </si>
  <si>
    <t>Product Catalogue</t>
  </si>
  <si>
    <t xml:space="preserve">    Selected (1)</t>
  </si>
  <si>
    <t xml:space="preserve">        Easter ()</t>
  </si>
  <si>
    <t>2026复活节卡片分店销售高峰与库存充足度判断</t>
  </si>
  <si>
    <t>销售统计截止2026-04-01；复活节周一为2026-04-06。判断基于5个货号合计、Excel进货（缺失时用HBweb补充）、净销量及退供应商季后库存；调拨和期初库存无历史快照，结论为风险推断。</t>
  </si>
  <si>
    <t>高峰销售日</t>
  </si>
  <si>
    <t>复活节周一前几天</t>
  </si>
  <si>
    <t>高峰日销量</t>
  </si>
  <si>
    <t>峰前累计销量</t>
  </si>
  <si>
    <t>峰后销量</t>
  </si>
  <si>
    <t>最后销售日</t>
  </si>
  <si>
    <t>已知进货量</t>
  </si>
  <si>
    <t>季后库存/退供应商</t>
  </si>
  <si>
    <t>总净销量</t>
  </si>
  <si>
    <t>估算剩余</t>
  </si>
  <si>
    <t>库存判断</t>
  </si>
  <si>
    <t>判断原因</t>
  </si>
  <si>
    <t>2026-03-20</t>
  </si>
  <si>
    <t>2026-04-01</t>
  </si>
  <si>
    <t>数量足够</t>
  </si>
  <si>
    <t>季后库存251张≥单日峰值19张，未见整体数量不足</t>
  </si>
  <si>
    <t>2026-03-30</t>
  </si>
  <si>
    <t>季后库存165张≥单日峰值36张，未见整体数量不足</t>
  </si>
  <si>
    <t>2026-03-26</t>
  </si>
  <si>
    <t>季后库存198张≥单日峰值36张，未见整体数量不足</t>
  </si>
  <si>
    <t>季后库存286张≥单日峰值30张，未见整体数量不足</t>
  </si>
  <si>
    <t>2026-03-02</t>
  </si>
  <si>
    <t>季后库存192张≥单日峰值17张，未见整体数量不足</t>
  </si>
  <si>
    <t>2026-03-29</t>
  </si>
  <si>
    <t>季后库存111张≥单日峰值24张，未见整体数量不足</t>
  </si>
  <si>
    <t>2026-03-31</t>
  </si>
  <si>
    <t>季后库存291张≥单日峰值41张，未见整体数量不足</t>
  </si>
  <si>
    <t>2026-03-28</t>
  </si>
  <si>
    <t>大概率足够</t>
  </si>
  <si>
    <t>估算余量286张可覆盖约16.8个峰值日</t>
  </si>
  <si>
    <t>季后库存159张≥单日峰值28张，未见整体数量不足</t>
  </si>
  <si>
    <t>2026-02-18</t>
  </si>
  <si>
    <t>季后库存841张≥单日峰值18张，未见整体数量不足</t>
  </si>
  <si>
    <t>2026-02-26</t>
  </si>
  <si>
    <t>估算余量281张可覆盖约7.8个峰值日</t>
  </si>
  <si>
    <t>季后库存685张≥单日峰值72张，未见整体数量不足</t>
  </si>
  <si>
    <t>季后库存174张≥单日峰值18张，未见整体数量不足</t>
  </si>
  <si>
    <t>估算余量400张可覆盖约6.3个峰值日</t>
  </si>
  <si>
    <t>偏紧</t>
  </si>
  <si>
    <t>季后库存仅21张，低于峰值日23张；仍销售至2026-04-01</t>
  </si>
  <si>
    <t>估算余量84张可覆盖约2.0个峰值日</t>
  </si>
  <si>
    <t>2026-02-24</t>
  </si>
  <si>
    <t>季后库存110张≥单日峰值32张，未见整体数量不足</t>
  </si>
  <si>
    <t>2026-03-19</t>
  </si>
  <si>
    <t>无法判断</t>
  </si>
  <si>
    <t>净销量526张但无可用进货记录，可能来自调拨或期初库存</t>
  </si>
  <si>
    <t>估算余量484张可覆盖约17.3个峰值日</t>
  </si>
  <si>
    <t>2026-03-10</t>
  </si>
  <si>
    <t>季后库存71张≥单日峰值13张，未见整体数量不足</t>
  </si>
  <si>
    <t>净销量311张超过已知进货288张，存在调拨或期初库存</t>
  </si>
  <si>
    <t>估算余量375张可覆盖约7.2个峰值日</t>
  </si>
  <si>
    <t>2026-03-14</t>
  </si>
  <si>
    <t>估算余量417张可覆盖约27.8个峰值日</t>
  </si>
  <si>
    <t>2026-03-13</t>
  </si>
  <si>
    <t>季后库存仅9张，低于峰值日28张；仍销售至2026-04-01</t>
  </si>
  <si>
    <t/>
  </si>
  <si>
    <t>无销量数据</t>
  </si>
  <si>
    <t>HBweb无对应销售；未映射门店或中央库存无法按销售高峰判断</t>
  </si>
  <si>
    <t>全公司合计/峰值</t>
  </si>
  <si>
    <t>总体足够，局部分店偏紧</t>
  </si>
  <si>
    <t>截至4月1日，全公司最高峰为4月1日（复活节周一前5天）；季后回收库存高于全公司单日峰值，但需关注分店及货号分布</t>
  </si>
  <si>
    <t>Art Wrap复活节卡片：数据库与Excel进货数量对账</t>
  </si>
  <si>
    <t>按货号对账</t>
  </si>
  <si>
    <t>Excel来源：供应商报表 INVOICE (Quantity)；数据库来源：HBweb StoreLocalSupplierInvoice/Details，供应商250，2025-09-01至2026-05-31。</t>
  </si>
  <si>
    <t>Excel进货</t>
  </si>
  <si>
    <t>HBweb数据库进货</t>
  </si>
  <si>
    <t>数据库-Excel差异</t>
  </si>
  <si>
    <t>对账结论</t>
  </si>
  <si>
    <t>货号</t>
  </si>
  <si>
    <t>数据库覆盖率</t>
  </si>
  <si>
    <t>结论</t>
  </si>
  <si>
    <t>全部货号合计</t>
  </si>
  <si>
    <t>数据库仅部分覆盖</t>
  </si>
  <si>
    <t>重要发现</t>
  </si>
  <si>
    <t>数据库覆盖</t>
  </si>
  <si>
    <t>5,340 / 16,200 = 33.0%，不能替代Excel作为完整进货来源</t>
  </si>
  <si>
    <t>完全匹配门店</t>
  </si>
  <si>
    <t>Robinson Road、Peninsula Fair、Campbelltown、Charlestown Square、Lake Haven、Kawana</t>
  </si>
  <si>
    <t>部分匹配</t>
  </si>
  <si>
    <t>Top Ryde：BEAC130匹配；BEAC072数据库144张、Excel 288张，少144张</t>
  </si>
  <si>
    <t>数据库多出</t>
  </si>
  <si>
    <t>Tuggerah：BEAC072 144张、BEAC130 144张；Excel无对应进货</t>
  </si>
  <si>
    <t>数据库缺口</t>
  </si>
  <si>
    <t>Excel有而数据库缺失/少记11,148张；数据库额外288张；最终净少10,860张</t>
  </si>
  <si>
    <t>单据状态</t>
  </si>
  <si>
    <t>数据库共13张相关进货单；FlowStatus 1或3，InboundStatus均为0，InboundDate为空</t>
  </si>
  <si>
    <t>全部分店合计</t>
  </si>
  <si>
    <t>2026复活节卡片按零售价销量汇总（跨货号）</t>
  </si>
  <si>
    <t>按货号的零售价销量</t>
  </si>
  <si>
    <t>按POSM订单明细 Price 归为三档：$0.50/$1.00归$1，$2.00归$2，$2.99/$3.00归$3；折扣订单仍按原零售价归档。</t>
  </si>
  <si>
    <t>$1销量</t>
  </si>
  <si>
    <t>$3销量</t>
  </si>
  <si>
    <t>全部净销量</t>
  </si>
  <si>
    <t>$1占比</t>
  </si>
  <si>
    <t>$2占比</t>
  </si>
  <si>
    <t>三档合计应等于净销量</t>
  </si>
  <si>
    <t>2026复活节卡片进货数量</t>
  </si>
  <si>
    <t>来源：Art Wrap（IG Design）供应商报表；仅包含5个确认货号。数量为 INVOICE (Quantity)。</t>
  </si>
  <si>
    <t>门店名称</t>
  </si>
  <si>
    <t>门店合计</t>
  </si>
  <si>
    <t>全部门店合计</t>
  </si>
  <si>
    <t>2026复活节卡片供应商退货</t>
  </si>
  <si>
    <t>来源：供应商报表 CREDIT (Quantity)；原负数已取绝对值，表内全部以正数表示退回供应商的数量。</t>
  </si>
  <si>
    <t>2026复活节期间净销售数量</t>
  </si>
  <si>
    <t>HBweb ProductStoreDailySalesStatistic；期间 2026-02-01 至 2026-04-01（含）。已包含顾客退货扣减，不重复减退货。</t>
  </si>
  <si>
    <t>2027复活节卡片建议订货量</t>
  </si>
  <si>
    <t>门店达到半套销量后按完整包装四舍五入；中央库存补足全公司105%需求缓冲。正式下单前须扣除可销售现存库存。</t>
  </si>
  <si>
    <t>2027复活节卡片订货建议原因</t>
  </si>
  <si>
    <t>每个单元格对应门店与货号；“退货率较高”按货号整体供应商退货率判断。未映射对象不自动给数量。</t>
  </si>
  <si>
    <t>净销量45，不足半套72；建议0，由中央库存补货；2026退供应商81张（视为季后库存）；该货号整体退货率≥20%，谨慎减量</t>
  </si>
  <si>
    <t>净销量62，不足半套72；建议0，由中央库存补货；2026退供应商70张（视为季后库存）</t>
  </si>
  <si>
    <t>净销量43，不足半套72；建议0，由中央库存补货；2026退供应商100张（视为季后库存）；该货号整体退货率≥20%，谨慎减量</t>
  </si>
  <si>
    <t>无净销量，建议0；先查现存库存及扫码映射</t>
  </si>
  <si>
    <t>按净销量207及包装规格，建议从2026进货288降至144；2026退供应商79张（视为季后库存）；该货号整体退货率≥20%，谨慎减量</t>
  </si>
  <si>
    <t>按净销量148及包装规格，建议从2026进货288降至144；2026退供应商86张（视为季后库存）</t>
  </si>
  <si>
    <t>净销量97支持维持2026进货量；建议144；该货号整体退货率≥20%，谨慎减量</t>
  </si>
  <si>
    <t>净销量125支持维持2026进货量；建议144；该货号整体退货率≥20%，谨慎减量</t>
  </si>
  <si>
    <t>按净销量273及包装规格，建议从2026进货432降至288；2026退供应商125张（视为季后库存）</t>
  </si>
  <si>
    <t>按净销量167及包装规格，建议从2026进货288降至144；2026退供应商73张（视为季后库存）；该货号整体退货率≥20%，谨慎减量</t>
  </si>
  <si>
    <t>按净销量116及包装规格，建议从2026进货288降至144；2026退供应商187张（视为季后库存）；该货号整体退货率≥20%，谨慎减量</t>
  </si>
  <si>
    <t>净销量63，不足半套72；建议0，由中央库存补货</t>
  </si>
  <si>
    <t>按净销量168及包装规格，建议从2026进货288降至144；2026退供应商99张（视为季后库存）；该货号整体退货率≥20%，谨慎减量</t>
  </si>
  <si>
    <t>净销量65，不足半套72；建议0，由中央库存补货；2026退供应商66张（视为季后库存）；该货号整体退货率≥20%，谨慎减量</t>
  </si>
  <si>
    <t>按净销量108及包装规格，建议从2026进货288降至144；2026退供应商126张（视为季后库存）；该货号整体退货率≥20%，谨慎减量</t>
  </si>
  <si>
    <t>净销量126支持维持2026进货量；建议144；2026退供应商111张（视为季后库存）；该货号整体退货率≥20%，谨慎减量</t>
  </si>
  <si>
    <t>净销量126支持维持2026进货量；建议144</t>
  </si>
  <si>
    <t>无净销量，建议0；先查现存库存及扫码映射；该货号整体退货率≥20%，谨慎减量</t>
  </si>
  <si>
    <t>按净销量151及包装规格，建议从2026进货288降至144；该货号整体退货率≥20%，谨慎减量</t>
  </si>
  <si>
    <t>按净销量99及包装规格，建议从2026进货288降至144；2026退供应商178张（视为季后库存）</t>
  </si>
  <si>
    <t>按净销量132及包装规格，建议从2026进货288降至144；2026退供应商113张（视为季后库存）；该货号整体退货率≥20%，谨慎减量</t>
  </si>
  <si>
    <t>净销量322支持维持2026进货量；建议300</t>
  </si>
  <si>
    <t>净销量47，不足半套150；建议0，由中央库存补货</t>
  </si>
  <si>
    <t>按净销量177及包装规格，建议从2026进货288降至144；该货号整体退货率≥20%，谨慎减量</t>
  </si>
  <si>
    <t>按净销量113及包装规格，建议从2026进货288降至144</t>
  </si>
  <si>
    <t>净销量218支持维持2026进货量；建议288；2026退供应商59张（视为季后库存）；该货号整体退货率≥20%，谨慎减量</t>
  </si>
  <si>
    <t>净销量124支持维持2026进货量；建议144</t>
  </si>
  <si>
    <t>按净销量161及包装规格，建议从2026进货288降至144；2026退供应商100张（视为季后库存）；该货号整体退货率≥20%，谨慎减量</t>
  </si>
  <si>
    <t>按净销量83及包装规格，建议从2026进货432降至144；2026退供应商306张（视为季后库存）；该货号整体退货率≥20%，谨慎减量</t>
  </si>
  <si>
    <t>按净销量83及包装规格，建议从2026进货288降至144；2026退供应商216张（视为季后库存）</t>
  </si>
  <si>
    <t>按净销量94及包装规格，建议从2026进货432降至144；2026退供应商319张（视为季后库存）；该货号整体退货率≥20%，谨慎减量</t>
  </si>
  <si>
    <t>净销量60，不足半套72；建议0，由中央库存补货；该货号整体退货率≥20%，谨慎减量</t>
  </si>
  <si>
    <t>按净销量210及包装规格，建议从2026进货288降至144</t>
  </si>
  <si>
    <t>按净销量169及包装规格，建议从2026进货288降至144；该货号整体退货率≥20%，谨慎减量</t>
  </si>
  <si>
    <t>按净销量154及包装规格，建议从2026进货432降至144；2026退供应商352张（视为季后库存）；该货号整体退货率≥20%，谨慎减量</t>
  </si>
  <si>
    <t>净销量80支持维持2026进货量；建议144；2026退供应商128张（视为季后库存）</t>
  </si>
  <si>
    <t>按净销量120及包装规格，建议从2026进货288降至144；2026退供应商205张（视为季后库存）；该货号整体退货率≥20%，谨慎减量</t>
  </si>
  <si>
    <t>净销量99，不足半套150；建议0，由中央库存补货</t>
  </si>
  <si>
    <t>净销量155支持维持2026进货量；建议300</t>
  </si>
  <si>
    <t>净销量3，不足半套72；建议0，由中央库存补货</t>
  </si>
  <si>
    <t>按净销量91及包装规格，建议从2026进货288降至144；2026退供应商174张（视为季后库存）；该货号整体退货率≥20%，谨慎减量</t>
  </si>
  <si>
    <t>净销量218支持维持2026进货量；建议288；该货号整体退货率≥20%，谨慎减量</t>
  </si>
  <si>
    <t>按净销量165及包装规格，建议从2026进货288降至144；该货号整体退货率≥20%，谨慎减量</t>
  </si>
  <si>
    <t>净销量275支持维持2026进货量；建议300</t>
  </si>
  <si>
    <t>净销量118，不足半套150；建议0，由中央库存补货</t>
  </si>
  <si>
    <t>净销量105支持维持2026进货量；建议144；2026退供应商21张（视为季后库存）；该货号整体退货率≥20%，谨慎减量</t>
  </si>
  <si>
    <t>净销量138支持维持2026进货量；建议144</t>
  </si>
  <si>
    <t>净销量248支持维持2026进货量；建议288</t>
  </si>
  <si>
    <t>净销量100支持维持2026进货量；建议144；该货号整体退货率≥20%，谨慎减量</t>
  </si>
  <si>
    <t>按净销量195及包装规格，建议从2026进货288降至144；2026退供应商110张（视为季后库存）；该货号整体退货率≥20%，谨慎减量</t>
  </si>
  <si>
    <t>净销量2，不足半套72；建议0，由中央库存补货</t>
  </si>
  <si>
    <t>净销量16，不足半套72；建议0，由中央库存补货；该货号整体退货率≥20%，谨慎减量</t>
  </si>
  <si>
    <t>净销量298支持维持2026进货量；建议300</t>
  </si>
  <si>
    <t>有净销量235但无直采，可能由仓库调拨；建议288</t>
  </si>
  <si>
    <t>有净销量291但无直采，可能由仓库调拨；建议300</t>
  </si>
  <si>
    <t>按净销量167及包装规格，建议从2026进货288降至144；该货号整体退货率≥20%，谨慎减量</t>
  </si>
  <si>
    <t>净销量69，不足半套72；建议0，由中央库存补货；该货号整体退货率≥20%，谨慎减量</t>
  </si>
  <si>
    <t>按净销量144及包装规格，建议从2026进货288降至144；2026退供应商58张（视为季后库存）；该货号整体退货率≥20%，谨慎减量</t>
  </si>
  <si>
    <t>净销量114支持维持2026进货量；建议144；2026退供应商13张（视为季后库存）；该货号整体退货率≥20%，谨慎减量</t>
  </si>
  <si>
    <t>有净销量111但无直采，可能由仓库调拨；建议144；该货号整体退货率≥20%，谨慎减量</t>
  </si>
  <si>
    <t>有净销量73但无直采，可能由仓库调拨；建议144</t>
  </si>
  <si>
    <t>有净销量127但无直采，可能由仓库调拨；建议144；该货号整体退货率≥20%，谨慎减量</t>
  </si>
  <si>
    <t>按净销量182及包装规格，建议从2026进货288降至144；该货号整体退货率≥20%，谨慎减量</t>
  </si>
  <si>
    <t>按净销量204及包装规格，建议从2026进货288降至144</t>
  </si>
  <si>
    <t>按净销量103及包装规格，建议从2026进货288降至144；该货号整体退货率≥20%，谨慎减量</t>
  </si>
  <si>
    <t>按净销量107及包装规格，建议从2026进货288降至144</t>
  </si>
  <si>
    <t>净销量52，不足半套72；建议0，由中央库存补货；该货号整体退货率≥20%，谨慎减量</t>
  </si>
  <si>
    <t>净销量267支持维持2026进货量；建议288；2026退供应商9张（视为季后库存）；该货号整体退货率≥20%，谨慎减量</t>
  </si>
  <si>
    <t>净销量258支持维持2026进货量；建议288；该货号整体退货率≥20%，谨慎减量</t>
  </si>
  <si>
    <t>未映射HBweb门店，保留历史记录；请人工核对</t>
  </si>
  <si>
    <t>未映射HBweb门店；请人工核对</t>
  </si>
  <si>
    <t>中央机动库存：补足全公司105%需求，建议 288</t>
  </si>
  <si>
    <t>门店完整包装已覆盖105%需求，无需额外中央库存</t>
  </si>
  <si>
    <t>中央机动库存：补足全公司105%需求，建议 144</t>
  </si>
  <si>
    <t>中央机动库存：补足全公司105%需求，建议 300</t>
  </si>
  <si>
    <t>复活节卡片分析口径、货号汇总与门店映射</t>
  </si>
  <si>
    <t>模型参数</t>
  </si>
  <si>
    <t>仅分析 BEAC072、EA258、BEAC130、BEAC071、EA256；BEAC071 已明确确认为复活节卡。</t>
  </si>
  <si>
    <t>中央库存需求系数</t>
  </si>
  <si>
    <t>包装量</t>
  </si>
  <si>
    <t>2026进货</t>
  </si>
  <si>
    <t>供应商退货</t>
  </si>
  <si>
    <t>净销量</t>
  </si>
  <si>
    <t>退货率</t>
  </si>
  <si>
    <t>2027建议</t>
  </si>
  <si>
    <t>较2026进货变化</t>
  </si>
  <si>
    <t>供应商客户代码</t>
  </si>
  <si>
    <t>供应商客户名称</t>
  </si>
  <si>
    <t>标准门店名称</t>
  </si>
  <si>
    <t>HBweb门店代码</t>
  </si>
  <si>
    <t>映射状态</t>
  </si>
  <si>
    <t>口径与订货规则</t>
  </si>
  <si>
    <t>1002</t>
  </si>
  <si>
    <t>已映射</t>
  </si>
  <si>
    <t>销售期间</t>
  </si>
  <si>
    <t>2026-02-01 至 2026-04-01（含）</t>
  </si>
  <si>
    <t>1003</t>
  </si>
  <si>
    <t>供应商期间</t>
  </si>
  <si>
    <t>原报表：Sep 2025 至 May 2026</t>
  </si>
  <si>
    <t>1004</t>
  </si>
  <si>
    <t>净销量口径</t>
  </si>
  <si>
    <t>HBweb商品日统计；已包含顾客退货扣减</t>
  </si>
  <si>
    <t>1005</t>
  </si>
  <si>
    <t>直接订货</t>
  </si>
  <si>
    <t>销量不足半套为0；否则按完整包装四舍五入</t>
  </si>
  <si>
    <t>1007</t>
  </si>
  <si>
    <t>中央库存</t>
  </si>
  <si>
    <t>补足全公司净销量的105%，按完整包装向上取整</t>
  </si>
  <si>
    <t>1008</t>
  </si>
  <si>
    <t>高退货提示</t>
  </si>
  <si>
    <t>货号整体供应商退货率达到20%时提示谨慎减量</t>
  </si>
  <si>
    <t>1009</t>
  </si>
  <si>
    <t>未映射对象</t>
  </si>
  <si>
    <t>Discount General Charlestown 人工核对；PARTY GO 已映射至 Bankstown（1024）</t>
  </si>
  <si>
    <t>1011</t>
  </si>
  <si>
    <t>库存限制</t>
  </si>
  <si>
    <t>建议为订货基准，正式下单前须扣除可销售现存库存</t>
  </si>
  <si>
    <t>1012</t>
  </si>
  <si>
    <t>数据一致性</t>
  </si>
  <si>
    <t>附件文本与原Excel共81行，逐行数量零差异</t>
  </si>
  <si>
    <t>1013</t>
  </si>
  <si>
    <t>1014</t>
  </si>
  <si>
    <t>1015</t>
  </si>
  <si>
    <t>1016</t>
  </si>
  <si>
    <t>1017</t>
  </si>
  <si>
    <t>1018</t>
  </si>
  <si>
    <t>1019</t>
  </si>
  <si>
    <t>1020</t>
  </si>
  <si>
    <t>1023</t>
  </si>
  <si>
    <t>1028</t>
  </si>
  <si>
    <t>1031</t>
  </si>
  <si>
    <t>1033</t>
  </si>
  <si>
    <t>未映射，人工核对</t>
  </si>
  <si>
    <t>1024</t>
  </si>
  <si>
    <t>1006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</si>
</sst>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\ hh:mm"/>
    <numFmt numFmtId="178" formatCode="&quot;$&quot;#,##0"/>
  </numFmts>
  <fonts count="36">
    <font>
      <sz val="10"/>
      <name val="Tahoma"/>
      <charset val="134"/>
    </font>
    <font>
      <b/>
      <sz val="16"/>
      <color rgb="FFFFFFFF"/>
      <name val="Tahoma"/>
      <charset val="134"/>
    </font>
    <font>
      <b/>
      <sz val="10"/>
      <color rgb="FFFFFFFF"/>
      <name val="Tahoma"/>
      <charset val="134"/>
    </font>
    <font>
      <sz val="10"/>
      <color rgb="FF355A5D"/>
      <name val="Tahoma"/>
      <charset val="134"/>
    </font>
    <font>
      <b/>
      <sz val="10"/>
      <color rgb="FF173D40"/>
      <name val="Tahoma"/>
      <charset val="134"/>
    </font>
    <font>
      <sz val="9"/>
      <name val="Tahoma"/>
      <charset val="134"/>
    </font>
    <font>
      <b/>
      <sz val="13"/>
      <color rgb="FFFFFFFF"/>
      <name val="Tahoma"/>
      <charset val="134"/>
    </font>
    <font>
      <b/>
      <sz val="9"/>
      <color rgb="FFFFFFFF"/>
      <name val="Tahoma"/>
      <charset val="134"/>
    </font>
    <font>
      <b/>
      <sz val="9"/>
      <color rgb="FF173D40"/>
      <name val="Tahoma"/>
      <charset val="134"/>
    </font>
    <font>
      <b/>
      <sz val="10"/>
      <name val="Tahoma"/>
      <charset val="134"/>
    </font>
    <font>
      <sz val="10"/>
      <color rgb="FFFF0000"/>
      <name val="Tahoma"/>
      <charset val="134"/>
    </font>
    <font>
      <b/>
      <sz val="16"/>
      <color rgb="FFFF0000"/>
      <name val="Tahoma"/>
      <charset val="134"/>
    </font>
    <font>
      <b/>
      <sz val="10"/>
      <color rgb="FFFF0000"/>
      <name val="Tahoma"/>
      <charset val="134"/>
    </font>
    <font>
      <b/>
      <sz val="9"/>
      <color rgb="FFFF0000"/>
      <name val="Tahoma"/>
      <charset val="134"/>
    </font>
    <font>
      <sz val="9"/>
      <color rgb="FFFF0000"/>
      <name val="Tahoma"/>
      <charset val="134"/>
    </font>
    <font>
      <sz val="8"/>
      <color rgb="FF355A5D"/>
      <name val="Menl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F3F46"/>
        <bgColor indexed="64"/>
      </patternFill>
    </fill>
    <fill>
      <patternFill patternType="solid">
        <fgColor rgb="FF165A5A"/>
        <bgColor indexed="64"/>
      </patternFill>
    </fill>
    <fill>
      <patternFill patternType="solid">
        <fgColor rgb="FFEAF3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BEC"/>
        <bgColor indexed="64"/>
      </patternFill>
    </fill>
    <fill>
      <patternFill patternType="solid">
        <fgColor rgb="FFF5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B9CCCC"/>
      </left>
      <right style="thin">
        <color rgb="FFB9CCCC"/>
      </right>
      <top style="thin">
        <color rgb="FFB9CCCC"/>
      </top>
      <bottom style="thin">
        <color rgb="FFB9CCCC"/>
      </bottom>
      <diagonal/>
    </border>
    <border>
      <left style="thin">
        <color rgb="FFD7E1E1"/>
      </left>
      <right style="thin">
        <color rgb="FFD7E1E1"/>
      </right>
      <top style="thin">
        <color rgb="FFD7E1E1"/>
      </top>
      <bottom style="thin">
        <color rgb="FFD7E1E1"/>
      </bottom>
      <diagonal/>
    </border>
    <border>
      <left style="thin">
        <color rgb="FFD7E1E1"/>
      </left>
      <right style="thin">
        <color rgb="FFD7E1E1"/>
      </right>
      <top style="thin">
        <color rgb="FFD7E1E1"/>
      </top>
      <bottom style="double">
        <color rgb="FF6A8B8D"/>
      </bottom>
      <diagonal/>
    </border>
    <border>
      <left/>
      <right/>
      <top/>
      <bottom style="double">
        <color rgb="FF6A8B8D"/>
      </bottom>
      <diagonal/>
    </border>
    <border>
      <left style="thin">
        <color rgb="FFD7E1E1"/>
      </left>
      <right style="thin">
        <color rgb="FFD7E1E1"/>
      </right>
      <top style="thin">
        <color rgb="FFD7E1E1"/>
      </top>
      <bottom style="medium">
        <color rgb="FF9CB5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6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0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12" borderId="11" applyNumberFormat="0" applyAlignment="0" applyProtection="0">
      <alignment vertical="center"/>
    </xf>
    <xf numFmtId="0" fontId="27" fillId="12" borderId="10" applyNumberFormat="0" applyAlignment="0" applyProtection="0">
      <alignment vertical="center"/>
    </xf>
    <xf numFmtId="0" fontId="28" fillId="13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0" fillId="0" borderId="0"/>
  </cellStyleXfs>
  <cellXfs count="69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/>
    <xf numFmtId="0" fontId="3" fillId="4" borderId="0" xfId="49" applyNumberFormat="1" applyFont="1" applyFill="1" applyBorder="1"/>
    <xf numFmtId="0" fontId="0" fillId="5" borderId="1" xfId="49" applyNumberFormat="1" applyFont="1" applyFill="1" applyBorder="1"/>
    <xf numFmtId="9" fontId="0" fillId="5" borderId="1" xfId="49" applyNumberFormat="1" applyFont="1" applyFill="1" applyBorder="1"/>
    <xf numFmtId="0" fontId="2" fillId="3" borderId="2" xfId="49" applyNumberFormat="1" applyFont="1" applyFill="1" applyBorder="1" applyAlignment="1">
      <alignment horizontal="center" vertical="center"/>
    </xf>
    <xf numFmtId="0" fontId="0" fillId="0" borderId="3" xfId="49" applyNumberFormat="1" applyFont="1" applyFill="1" applyBorder="1" applyAlignment="1">
      <alignment vertical="center"/>
    </xf>
    <xf numFmtId="3" fontId="0" fillId="0" borderId="3" xfId="49" applyNumberFormat="1" applyFont="1" applyFill="1" applyBorder="1" applyAlignment="1">
      <alignment vertical="center"/>
    </xf>
    <xf numFmtId="176" fontId="0" fillId="0" borderId="3" xfId="49" applyNumberFormat="1" applyFont="1" applyFill="1" applyBorder="1" applyAlignment="1">
      <alignment vertical="center"/>
    </xf>
    <xf numFmtId="0" fontId="4" fillId="6" borderId="4" xfId="49" applyNumberFormat="1" applyFont="1" applyFill="1" applyBorder="1" applyAlignment="1">
      <alignment vertical="center"/>
    </xf>
    <xf numFmtId="3" fontId="4" fillId="6" borderId="4" xfId="49" applyNumberFormat="1" applyFont="1" applyFill="1" applyBorder="1" applyAlignment="1">
      <alignment vertical="center"/>
    </xf>
    <xf numFmtId="176" fontId="4" fillId="6" borderId="4" xfId="49" applyNumberFormat="1" applyFont="1" applyFill="1" applyBorder="1" applyAlignment="1">
      <alignment vertical="center"/>
    </xf>
    <xf numFmtId="0" fontId="2" fillId="3" borderId="2" xfId="49" applyNumberFormat="1" applyFont="1" applyFill="1" applyBorder="1" applyAlignment="1">
      <alignment horizontal="center"/>
    </xf>
    <xf numFmtId="0" fontId="5" fillId="0" borderId="3" xfId="49" applyNumberFormat="1" applyFont="1" applyFill="1" applyBorder="1" applyAlignment="1">
      <alignment vertical="center"/>
    </xf>
    <xf numFmtId="0" fontId="5" fillId="7" borderId="3" xfId="49" applyNumberFormat="1" applyFont="1" applyFill="1" applyBorder="1" applyAlignment="1">
      <alignment vertical="center" wrapText="1"/>
    </xf>
    <xf numFmtId="0" fontId="5" fillId="0" borderId="3" xfId="49" applyNumberFormat="1" applyFont="1" applyFill="1" applyBorder="1" applyAlignment="1">
      <alignment vertical="center" wrapText="1"/>
    </xf>
    <xf numFmtId="0" fontId="1" fillId="2" borderId="0" xfId="49" applyNumberFormat="1" applyFont="1" applyFill="1" applyBorder="1" applyAlignment="1">
      <alignment horizontal="left" vertical="center"/>
    </xf>
    <xf numFmtId="0" fontId="3" fillId="4" borderId="0" xfId="49" applyNumberFormat="1" applyFont="1" applyFill="1" applyBorder="1" applyAlignment="1">
      <alignment vertical="center" wrapText="1"/>
    </xf>
    <xf numFmtId="0" fontId="0" fillId="7" borderId="3" xfId="49" applyNumberFormat="1" applyFont="1" applyFill="1" applyBorder="1" applyAlignment="1">
      <alignment vertical="center"/>
    </xf>
    <xf numFmtId="0" fontId="5" fillId="0" borderId="3" xfId="49" applyNumberFormat="1" applyFont="1" applyFill="1" applyBorder="1" applyAlignment="1">
      <alignment horizontal="left" vertical="center" wrapText="1"/>
    </xf>
    <xf numFmtId="3" fontId="0" fillId="0" borderId="3" xfId="49" applyNumberFormat="1" applyFont="1" applyFill="1" applyBorder="1" applyAlignment="1">
      <alignment horizontal="right" vertical="center"/>
    </xf>
    <xf numFmtId="0" fontId="4" fillId="6" borderId="5" xfId="49" applyNumberFormat="1" applyFont="1" applyFill="1" applyBorder="1"/>
    <xf numFmtId="3" fontId="4" fillId="6" borderId="5" xfId="49" applyNumberFormat="1" applyFont="1" applyFill="1" applyBorder="1"/>
    <xf numFmtId="0" fontId="6" fillId="2" borderId="0" xfId="49" applyNumberFormat="1" applyFont="1" applyFill="1" applyBorder="1" applyAlignment="1">
      <alignment vertical="center"/>
    </xf>
    <xf numFmtId="0" fontId="2" fillId="3" borderId="2" xfId="49" applyNumberFormat="1" applyFont="1" applyFill="1" applyBorder="1" applyAlignment="1">
      <alignment horizontal="center" vertical="center" wrapText="1"/>
    </xf>
    <xf numFmtId="0" fontId="0" fillId="7" borderId="3" xfId="49" applyNumberFormat="1" applyFont="1" applyFill="1" applyBorder="1" applyAlignment="1">
      <alignment vertical="center" wrapText="1"/>
    </xf>
    <xf numFmtId="0" fontId="0" fillId="0" borderId="3" xfId="49" applyNumberFormat="1" applyFont="1" applyFill="1" applyBorder="1" applyAlignment="1">
      <alignment vertical="center" wrapText="1"/>
    </xf>
    <xf numFmtId="0" fontId="7" fillId="3" borderId="2" xfId="49" applyNumberFormat="1" applyFont="1" applyFill="1" applyBorder="1" applyAlignment="1">
      <alignment horizontal="center" vertical="center" wrapText="1"/>
    </xf>
    <xf numFmtId="3" fontId="5" fillId="0" borderId="3" xfId="49" applyNumberFormat="1" applyFont="1" applyFill="1" applyBorder="1" applyAlignment="1">
      <alignment vertical="center"/>
    </xf>
    <xf numFmtId="0" fontId="8" fillId="6" borderId="4" xfId="49" applyNumberFormat="1" applyFont="1" applyFill="1" applyBorder="1" applyAlignment="1">
      <alignment vertical="center" wrapText="1"/>
    </xf>
    <xf numFmtId="3" fontId="8" fillId="6" borderId="4" xfId="49" applyNumberFormat="1" applyFont="1" applyFill="1" applyBorder="1" applyAlignment="1">
      <alignment vertical="center" wrapText="1"/>
    </xf>
    <xf numFmtId="0" fontId="9" fillId="0" borderId="0" xfId="49" applyFont="1"/>
    <xf numFmtId="177" fontId="0" fillId="0" borderId="0" xfId="49" applyNumberFormat="1"/>
    <xf numFmtId="0" fontId="9" fillId="0" borderId="0" xfId="49" applyFont="1" applyAlignment="1">
      <alignment horizontal="right"/>
    </xf>
    <xf numFmtId="178" fontId="0" fillId="0" borderId="0" xfId="49" applyNumberFormat="1"/>
    <xf numFmtId="3" fontId="0" fillId="0" borderId="0" xfId="49" applyNumberFormat="1"/>
    <xf numFmtId="0" fontId="0" fillId="0" borderId="0" xfId="49" applyAlignment="1">
      <alignment wrapText="1"/>
    </xf>
    <xf numFmtId="0" fontId="10" fillId="0" borderId="0" xfId="49" applyFont="1"/>
    <xf numFmtId="0" fontId="1" fillId="2" borderId="0" xfId="49" applyNumberFormat="1" applyFont="1" applyFill="1" applyBorder="1" applyAlignment="1">
      <alignment vertical="center" wrapText="1"/>
    </xf>
    <xf numFmtId="0" fontId="11" fillId="2" borderId="0" xfId="49" applyNumberFormat="1" applyFont="1" applyFill="1" applyBorder="1" applyAlignment="1">
      <alignment vertical="center"/>
    </xf>
    <xf numFmtId="0" fontId="10" fillId="4" borderId="0" xfId="49" applyNumberFormat="1" applyFont="1" applyFill="1" applyBorder="1" applyAlignment="1">
      <alignment vertical="center" wrapText="1"/>
    </xf>
    <xf numFmtId="0" fontId="4" fillId="6" borderId="5" xfId="49" applyNumberFormat="1" applyFont="1" applyFill="1" applyBorder="1" applyAlignment="1">
      <alignment vertical="center"/>
    </xf>
    <xf numFmtId="0" fontId="4" fillId="6" borderId="5" xfId="49" applyNumberFormat="1" applyFont="1" applyFill="1" applyBorder="1" applyAlignment="1">
      <alignment vertical="center" wrapText="1"/>
    </xf>
    <xf numFmtId="3" fontId="4" fillId="6" borderId="5" xfId="49" applyNumberFormat="1" applyFont="1" applyFill="1" applyBorder="1" applyAlignment="1">
      <alignment vertical="center"/>
    </xf>
    <xf numFmtId="3" fontId="12" fillId="6" borderId="5" xfId="49" applyNumberFormat="1" applyFont="1" applyFill="1" applyBorder="1" applyAlignment="1">
      <alignment vertical="center"/>
    </xf>
    <xf numFmtId="0" fontId="13" fillId="3" borderId="2" xfId="49" applyNumberFormat="1" applyFont="1" applyFill="1" applyBorder="1" applyAlignment="1">
      <alignment horizontal="center" vertical="center" wrapText="1"/>
    </xf>
    <xf numFmtId="0" fontId="4" fillId="4" borderId="3" xfId="49" applyNumberFormat="1" applyFont="1" applyFill="1" applyBorder="1" applyAlignment="1">
      <alignment horizontal="left" vertical="center" wrapText="1"/>
    </xf>
    <xf numFmtId="0" fontId="5" fillId="8" borderId="3" xfId="49" applyNumberFormat="1" applyFont="1" applyFill="1" applyBorder="1" applyAlignment="1">
      <alignment vertical="center"/>
    </xf>
    <xf numFmtId="0" fontId="5" fillId="8" borderId="3" xfId="49" applyNumberFormat="1" applyFont="1" applyFill="1" applyBorder="1" applyAlignment="1">
      <alignment vertical="center" wrapText="1"/>
    </xf>
    <xf numFmtId="3" fontId="5" fillId="8" borderId="3" xfId="49" applyNumberFormat="1" applyFont="1" applyFill="1" applyBorder="1" applyAlignment="1">
      <alignment vertical="center"/>
    </xf>
    <xf numFmtId="3" fontId="14" fillId="8" borderId="3" xfId="49" applyNumberFormat="1" applyFont="1" applyFill="1" applyBorder="1" applyAlignment="1">
      <alignment vertical="center"/>
    </xf>
    <xf numFmtId="0" fontId="15" fillId="8" borderId="3" xfId="49" applyNumberFormat="1" applyFont="1" applyFill="1" applyBorder="1" applyAlignment="1">
      <alignment vertical="center" wrapText="1"/>
    </xf>
    <xf numFmtId="0" fontId="5" fillId="8" borderId="6" xfId="49" applyNumberFormat="1" applyFont="1" applyFill="1" applyBorder="1" applyAlignment="1">
      <alignment vertical="center"/>
    </xf>
    <xf numFmtId="0" fontId="5" fillId="8" borderId="6" xfId="49" applyNumberFormat="1" applyFont="1" applyFill="1" applyBorder="1" applyAlignment="1">
      <alignment vertical="center" wrapText="1"/>
    </xf>
    <xf numFmtId="3" fontId="5" fillId="8" borderId="6" xfId="49" applyNumberFormat="1" applyFont="1" applyFill="1" applyBorder="1" applyAlignment="1">
      <alignment vertical="center"/>
    </xf>
    <xf numFmtId="3" fontId="14" fillId="8" borderId="6" xfId="49" applyNumberFormat="1" applyFont="1" applyFill="1" applyBorder="1" applyAlignment="1">
      <alignment vertical="center"/>
    </xf>
    <xf numFmtId="0" fontId="15" fillId="8" borderId="6" xfId="49" applyNumberFormat="1" applyFont="1" applyFill="1" applyBorder="1" applyAlignment="1">
      <alignment vertical="center" wrapText="1"/>
    </xf>
    <xf numFmtId="0" fontId="4" fillId="6" borderId="3" xfId="49" applyNumberFormat="1" applyFont="1" applyFill="1" applyBorder="1" applyAlignment="1">
      <alignment horizontal="left" vertical="center" wrapText="1"/>
    </xf>
    <xf numFmtId="0" fontId="5" fillId="9" borderId="3" xfId="49" applyNumberFormat="1" applyFont="1" applyFill="1" applyBorder="1" applyAlignment="1">
      <alignment vertical="center"/>
    </xf>
    <xf numFmtId="0" fontId="5" fillId="9" borderId="3" xfId="49" applyNumberFormat="1" applyFont="1" applyFill="1" applyBorder="1" applyAlignment="1">
      <alignment vertical="center" wrapText="1"/>
    </xf>
    <xf numFmtId="3" fontId="5" fillId="9" borderId="3" xfId="49" applyNumberFormat="1" applyFont="1" applyFill="1" applyBorder="1" applyAlignment="1">
      <alignment vertical="center"/>
    </xf>
    <xf numFmtId="3" fontId="14" fillId="9" borderId="3" xfId="49" applyNumberFormat="1" applyFont="1" applyFill="1" applyBorder="1" applyAlignment="1">
      <alignment vertical="center"/>
    </xf>
    <xf numFmtId="0" fontId="15" fillId="9" borderId="3" xfId="49" applyNumberFormat="1" applyFont="1" applyFill="1" applyBorder="1" applyAlignment="1">
      <alignment vertical="center" wrapText="1"/>
    </xf>
    <xf numFmtId="0" fontId="5" fillId="9" borderId="6" xfId="49" applyNumberFormat="1" applyFont="1" applyFill="1" applyBorder="1" applyAlignment="1">
      <alignment vertical="center"/>
    </xf>
    <xf numFmtId="0" fontId="5" fillId="9" borderId="6" xfId="49" applyNumberFormat="1" applyFont="1" applyFill="1" applyBorder="1" applyAlignment="1">
      <alignment vertical="center" wrapText="1"/>
    </xf>
    <xf numFmtId="3" fontId="5" fillId="9" borderId="6" xfId="49" applyNumberFormat="1" applyFont="1" applyFill="1" applyBorder="1" applyAlignment="1">
      <alignment vertical="center"/>
    </xf>
    <xf numFmtId="3" fontId="14" fillId="9" borderId="6" xfId="49" applyNumberFormat="1" applyFont="1" applyFill="1" applyBorder="1" applyAlignment="1">
      <alignment vertical="center"/>
    </xf>
    <xf numFmtId="0" fontId="15" fillId="9" borderId="6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6">
    <dxf>
      <font>
        <b val="1"/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ill>
        <patternFill patternType="solid">
          <bgColor rgb="FFD0F0F7"/>
        </patternFill>
      </fill>
    </dxf>
    <dxf>
      <fill>
        <patternFill patternType="solid">
          <bgColor rgb="FF28FFD4"/>
        </patternFill>
      </fill>
    </dxf>
    <dxf>
      <font>
        <color rgb="FFEE3402"/>
      </font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color rgb="FF666666"/>
      </font>
      <fill>
        <patternFill patternType="solid">
          <bgColor rgb="FFF2F2F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D0F0F7"/>
      <rgbColor rgb="0028FFD4"/>
      <rgbColor rgb="00EEEFEF"/>
      <rgbColor rgb="00EE340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4"/>
  <sheetViews>
    <sheetView showGridLines="0" tabSelected="1" workbookViewId="0">
      <pane ySplit="4" topLeftCell="A6" activePane="bottomLeft" state="frozen"/>
      <selection/>
      <selection pane="bottomLeft" activeCell="M115" sqref="M115"/>
    </sheetView>
  </sheetViews>
  <sheetFormatPr defaultColWidth="9" defaultRowHeight="15.2"/>
  <cols>
    <col min="1" max="1" width="15.625" customWidth="1"/>
    <col min="2" max="2" width="13" customWidth="1"/>
    <col min="3" max="3" width="17.8571428571429" style="37" customWidth="1"/>
    <col min="4" max="4" width="18.1517857142857" customWidth="1"/>
    <col min="5" max="5" width="8" customWidth="1"/>
    <col min="6" max="6" width="12.3214285714286" customWidth="1"/>
    <col min="7" max="7" width="9.46428571428571" customWidth="1"/>
    <col min="8" max="8" width="6.85714285714286" customWidth="1"/>
    <col min="9" max="9" width="9.46428571428571" customWidth="1"/>
    <col min="10" max="10" width="20.5357142857143" customWidth="1"/>
    <col min="11" max="11" width="11.6071428571429" customWidth="1"/>
    <col min="12" max="12" width="12.3214285714286" customWidth="1"/>
    <col min="13" max="13" width="12.3214285714286" style="38" customWidth="1"/>
    <col min="14" max="14" width="43" customWidth="1"/>
    <col min="15" max="15" width="50" customWidth="1"/>
  </cols>
  <sheetData>
    <row r="1" ht="30" customHeight="1" spans="1:15">
      <c r="A1" s="1" t="s">
        <v>0</v>
      </c>
      <c r="B1" s="1"/>
      <c r="C1" s="39"/>
      <c r="D1" s="1"/>
      <c r="E1" s="1"/>
      <c r="F1" s="1"/>
      <c r="G1" s="1"/>
      <c r="H1" s="1"/>
      <c r="I1" s="1"/>
      <c r="J1" s="1"/>
      <c r="K1" s="1"/>
      <c r="L1" s="1"/>
      <c r="M1" s="40"/>
      <c r="N1" s="1"/>
      <c r="O1" s="1"/>
    </row>
    <row r="2" ht="32" customHeight="1" spans="1:1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41"/>
      <c r="N2" s="18"/>
      <c r="O2" s="18"/>
    </row>
    <row r="3" ht="46.75" spans="1:15">
      <c r="A3" s="42" t="s">
        <v>2</v>
      </c>
      <c r="B3" s="42"/>
      <c r="C3" s="43"/>
      <c r="D3" s="42"/>
      <c r="E3" s="44">
        <f>'2026进货数量'!G31</f>
        <v>16200</v>
      </c>
      <c r="F3" s="44">
        <f>'2026净销售数量'!G31</f>
        <v>9417</v>
      </c>
      <c r="G3" s="44">
        <v>1601</v>
      </c>
      <c r="H3" s="44">
        <v>5462</v>
      </c>
      <c r="I3" s="44">
        <v>2354</v>
      </c>
      <c r="J3" s="44">
        <f>'2026供应商退货'!G31</f>
        <v>3564</v>
      </c>
      <c r="K3" s="44">
        <f>'2027建议订货量'!G31</f>
        <v>10596</v>
      </c>
      <c r="L3" s="44">
        <f>K3-E3</f>
        <v>-5604</v>
      </c>
      <c r="M3" s="45"/>
      <c r="N3" s="42" t="s">
        <v>3</v>
      </c>
      <c r="O3" s="43" t="s">
        <v>4</v>
      </c>
    </row>
    <row r="4" ht="38" customHeight="1" spans="1:15">
      <c r="A4" s="28" t="s">
        <v>5</v>
      </c>
      <c r="B4" s="28" t="s">
        <v>6</v>
      </c>
      <c r="C4" s="28" t="s">
        <v>7</v>
      </c>
      <c r="D4" s="28" t="s">
        <v>8</v>
      </c>
      <c r="E4" s="28" t="s">
        <v>9</v>
      </c>
      <c r="F4" s="28" t="s">
        <v>10</v>
      </c>
      <c r="G4" s="28" t="s">
        <v>11</v>
      </c>
      <c r="H4" s="28" t="s">
        <v>12</v>
      </c>
      <c r="I4" s="28" t="s">
        <v>13</v>
      </c>
      <c r="J4" s="28" t="s">
        <v>14</v>
      </c>
      <c r="K4" s="28" t="s">
        <v>15</v>
      </c>
      <c r="L4" s="28" t="s">
        <v>16</v>
      </c>
      <c r="M4" s="46" t="s">
        <v>17</v>
      </c>
      <c r="N4" s="28" t="s">
        <v>18</v>
      </c>
      <c r="O4" s="28" t="s">
        <v>19</v>
      </c>
    </row>
    <row r="5" ht="42" customHeight="1" spans="1:15">
      <c r="A5" s="47" t="s">
        <v>20</v>
      </c>
      <c r="B5" s="48" t="s">
        <v>21</v>
      </c>
      <c r="C5" s="49" t="s">
        <v>22</v>
      </c>
      <c r="D5" s="48" t="s">
        <v>23</v>
      </c>
      <c r="E5" s="50">
        <f>'2026进货数量'!B5</f>
        <v>144</v>
      </c>
      <c r="F5" s="50">
        <f>'2026净销售数量'!B5</f>
        <v>45</v>
      </c>
      <c r="G5" s="50">
        <v>0</v>
      </c>
      <c r="H5" s="50">
        <v>45</v>
      </c>
      <c r="I5" s="50">
        <v>0</v>
      </c>
      <c r="J5" s="50">
        <f>'2026供应商退货'!B5</f>
        <v>81</v>
      </c>
      <c r="K5" s="50">
        <f>'2027建议订货量'!B5</f>
        <v>0</v>
      </c>
      <c r="L5" s="50">
        <f t="shared" ref="L5:L68" si="0">K5-E5</f>
        <v>-144</v>
      </c>
      <c r="M5" s="51">
        <v>144</v>
      </c>
      <c r="N5" s="49" t="str">
        <f>建议原因!B5</f>
        <v>净销量45，不足半套72；建议0，由中央库存补货；2026退供应商81张（视为季后库存）；该货号整体退货率≥20%，谨慎减量</v>
      </c>
      <c r="O5" s="52" t="s">
        <v>24</v>
      </c>
    </row>
    <row r="6" ht="42" customHeight="1" spans="1:15">
      <c r="A6" s="47" t="s">
        <v>20</v>
      </c>
      <c r="B6" s="48" t="s">
        <v>25</v>
      </c>
      <c r="C6" s="49" t="s">
        <v>26</v>
      </c>
      <c r="D6" s="48" t="s">
        <v>23</v>
      </c>
      <c r="E6" s="50">
        <f>'2026进货数量'!C5</f>
        <v>144</v>
      </c>
      <c r="F6" s="50">
        <f>'2026净销售数量'!C5</f>
        <v>62</v>
      </c>
      <c r="G6" s="50">
        <v>0</v>
      </c>
      <c r="H6" s="50">
        <v>62</v>
      </c>
      <c r="I6" s="50">
        <v>0</v>
      </c>
      <c r="J6" s="50">
        <f>'2026供应商退货'!C5</f>
        <v>70</v>
      </c>
      <c r="K6" s="50">
        <f>'2027建议订货量'!C5</f>
        <v>0</v>
      </c>
      <c r="L6" s="50">
        <f t="shared" si="0"/>
        <v>-144</v>
      </c>
      <c r="M6" s="51"/>
      <c r="N6" s="49" t="str">
        <f>建议原因!C5</f>
        <v>净销量62，不足半套72；建议0，由中央库存补货；2026退供应商70张（视为季后库存）</v>
      </c>
      <c r="O6" s="52" t="s">
        <v>27</v>
      </c>
    </row>
    <row r="7" ht="42" customHeight="1" spans="1:15">
      <c r="A7" s="47" t="s">
        <v>20</v>
      </c>
      <c r="B7" s="48" t="s">
        <v>28</v>
      </c>
      <c r="C7" s="49" t="s">
        <v>29</v>
      </c>
      <c r="D7" s="48" t="s">
        <v>30</v>
      </c>
      <c r="E7" s="50">
        <f>'2026进货数量'!D5</f>
        <v>144</v>
      </c>
      <c r="F7" s="50">
        <f>'2026净销售数量'!D5</f>
        <v>43</v>
      </c>
      <c r="G7" s="50">
        <v>0</v>
      </c>
      <c r="H7" s="50">
        <v>0</v>
      </c>
      <c r="I7" s="50">
        <v>43</v>
      </c>
      <c r="J7" s="50">
        <f>'2026供应商退货'!D5</f>
        <v>100</v>
      </c>
      <c r="K7" s="50">
        <f>'2027建议订货量'!D5</f>
        <v>0</v>
      </c>
      <c r="L7" s="50">
        <f t="shared" si="0"/>
        <v>-144</v>
      </c>
      <c r="M7" s="51"/>
      <c r="N7" s="49" t="str">
        <f>建议原因!D5</f>
        <v>净销量43，不足半套72；建议0，由中央库存补货；2026退供应商100张（视为季后库存）；该货号整体退货率≥20%，谨慎减量</v>
      </c>
      <c r="O7" s="52" t="s">
        <v>31</v>
      </c>
    </row>
    <row r="8" ht="42" customHeight="1" spans="1:15">
      <c r="A8" s="47" t="s">
        <v>20</v>
      </c>
      <c r="B8" s="48" t="s">
        <v>32</v>
      </c>
      <c r="C8" s="49" t="s">
        <v>33</v>
      </c>
      <c r="D8" s="48" t="s">
        <v>34</v>
      </c>
      <c r="E8" s="50">
        <f>'2026进货数量'!E5</f>
        <v>0</v>
      </c>
      <c r="F8" s="50">
        <f>'2026净销售数量'!E5</f>
        <v>0</v>
      </c>
      <c r="G8" s="50">
        <v>0</v>
      </c>
      <c r="H8" s="50">
        <v>0</v>
      </c>
      <c r="I8" s="50">
        <v>0</v>
      </c>
      <c r="J8" s="50">
        <f>'2026供应商退货'!E5</f>
        <v>0</v>
      </c>
      <c r="K8" s="50">
        <f>'2027建议订货量'!E5</f>
        <v>0</v>
      </c>
      <c r="L8" s="50">
        <f t="shared" si="0"/>
        <v>0</v>
      </c>
      <c r="M8" s="51"/>
      <c r="N8" s="49" t="str">
        <f>建议原因!E5</f>
        <v>无净销量，建议0；先查现存库存及扫码映射</v>
      </c>
      <c r="O8" s="52" t="s">
        <v>35</v>
      </c>
    </row>
    <row r="9" ht="42" customHeight="1" spans="1:15">
      <c r="A9" s="47" t="s">
        <v>20</v>
      </c>
      <c r="B9" s="53" t="s">
        <v>36</v>
      </c>
      <c r="C9" s="54" t="s">
        <v>37</v>
      </c>
      <c r="D9" s="53" t="s">
        <v>38</v>
      </c>
      <c r="E9" s="55">
        <f>'2026进货数量'!F5</f>
        <v>0</v>
      </c>
      <c r="F9" s="55">
        <f>'2026净销售数量'!F5</f>
        <v>0</v>
      </c>
      <c r="G9" s="55">
        <v>0</v>
      </c>
      <c r="H9" s="55">
        <v>0</v>
      </c>
      <c r="I9" s="55">
        <v>0</v>
      </c>
      <c r="J9" s="55">
        <f>'2026供应商退货'!F5</f>
        <v>0</v>
      </c>
      <c r="K9" s="55">
        <f>'2027建议订货量'!F5</f>
        <v>0</v>
      </c>
      <c r="L9" s="55">
        <f t="shared" si="0"/>
        <v>0</v>
      </c>
      <c r="M9" s="56"/>
      <c r="N9" s="54" t="str">
        <f>建议原因!F5</f>
        <v>无净销量，建议0；先查现存库存及扫码映射</v>
      </c>
      <c r="O9" s="57" t="s">
        <v>35</v>
      </c>
    </row>
    <row r="10" ht="42" customHeight="1" spans="1:15">
      <c r="A10" s="58" t="s">
        <v>39</v>
      </c>
      <c r="B10" s="59" t="s">
        <v>21</v>
      </c>
      <c r="C10" s="60" t="s">
        <v>22</v>
      </c>
      <c r="D10" s="59" t="s">
        <v>23</v>
      </c>
      <c r="E10" s="61">
        <f>'2026进货数量'!B6</f>
        <v>288</v>
      </c>
      <c r="F10" s="61">
        <f>'2026净销售数量'!B6</f>
        <v>207</v>
      </c>
      <c r="G10" s="61">
        <v>0</v>
      </c>
      <c r="H10" s="61">
        <v>207</v>
      </c>
      <c r="I10" s="61">
        <v>0</v>
      </c>
      <c r="J10" s="61">
        <f>'2026供应商退货'!B6</f>
        <v>79</v>
      </c>
      <c r="K10" s="61">
        <f>'2027建议订货量'!B6</f>
        <v>144</v>
      </c>
      <c r="L10" s="61">
        <f t="shared" si="0"/>
        <v>-144</v>
      </c>
      <c r="M10" s="62">
        <v>432</v>
      </c>
      <c r="N10" s="60" t="str">
        <f>建议原因!B6</f>
        <v>按净销量207及包装规格，建议从2026进货288降至144；2026退供应商79张（视为季后库存）；该货号整体退货率≥20%，谨慎减量</v>
      </c>
      <c r="O10" s="63" t="s">
        <v>40</v>
      </c>
    </row>
    <row r="11" ht="42" customHeight="1" spans="1:15">
      <c r="A11" s="58" t="s">
        <v>39</v>
      </c>
      <c r="B11" s="59" t="s">
        <v>25</v>
      </c>
      <c r="C11" s="60" t="s">
        <v>26</v>
      </c>
      <c r="D11" s="59" t="s">
        <v>23</v>
      </c>
      <c r="E11" s="61">
        <f>'2026进货数量'!C6</f>
        <v>288</v>
      </c>
      <c r="F11" s="61">
        <f>'2026净销售数量'!C6</f>
        <v>148</v>
      </c>
      <c r="G11" s="61">
        <v>0</v>
      </c>
      <c r="H11" s="61">
        <v>148</v>
      </c>
      <c r="I11" s="61">
        <v>0</v>
      </c>
      <c r="J11" s="61">
        <f>'2026供应商退货'!C6</f>
        <v>86</v>
      </c>
      <c r="K11" s="61">
        <f>'2027建议订货量'!C6</f>
        <v>144</v>
      </c>
      <c r="L11" s="61">
        <f t="shared" si="0"/>
        <v>-144</v>
      </c>
      <c r="M11" s="62"/>
      <c r="N11" s="60" t="str">
        <f>建议原因!C6</f>
        <v>按净销量148及包装规格，建议从2026进货288降至144；2026退供应商86张（视为季后库存）</v>
      </c>
      <c r="O11" s="63" t="s">
        <v>41</v>
      </c>
    </row>
    <row r="12" ht="42" customHeight="1" spans="1:15">
      <c r="A12" s="58" t="s">
        <v>39</v>
      </c>
      <c r="B12" s="59" t="s">
        <v>28</v>
      </c>
      <c r="C12" s="60" t="s">
        <v>29</v>
      </c>
      <c r="D12" s="59" t="s">
        <v>30</v>
      </c>
      <c r="E12" s="61">
        <f>'2026进货数量'!D6</f>
        <v>144</v>
      </c>
      <c r="F12" s="61">
        <f>'2026净销售数量'!D6</f>
        <v>97</v>
      </c>
      <c r="G12" s="61">
        <v>0</v>
      </c>
      <c r="H12" s="61">
        <v>0</v>
      </c>
      <c r="I12" s="61">
        <v>97</v>
      </c>
      <c r="J12" s="61">
        <f>'2026供应商退货'!D6</f>
        <v>0</v>
      </c>
      <c r="K12" s="61">
        <f>'2027建议订货量'!D6</f>
        <v>144</v>
      </c>
      <c r="L12" s="61">
        <f t="shared" si="0"/>
        <v>0</v>
      </c>
      <c r="M12" s="62">
        <v>144</v>
      </c>
      <c r="N12" s="60" t="str">
        <f>建议原因!D6</f>
        <v>净销量97支持维持2026进货量；建议144；该货号整体退货率≥20%，谨慎减量</v>
      </c>
      <c r="O12" s="63" t="s">
        <v>42</v>
      </c>
    </row>
    <row r="13" ht="42" customHeight="1" spans="1:15">
      <c r="A13" s="58" t="s">
        <v>39</v>
      </c>
      <c r="B13" s="59" t="s">
        <v>32</v>
      </c>
      <c r="C13" s="60" t="s">
        <v>33</v>
      </c>
      <c r="D13" s="59" t="s">
        <v>34</v>
      </c>
      <c r="E13" s="61">
        <f>'2026进货数量'!E6</f>
        <v>0</v>
      </c>
      <c r="F13" s="61">
        <f>'2026净销售数量'!E6</f>
        <v>0</v>
      </c>
      <c r="G13" s="61">
        <v>0</v>
      </c>
      <c r="H13" s="61">
        <v>0</v>
      </c>
      <c r="I13" s="61">
        <v>0</v>
      </c>
      <c r="J13" s="61">
        <f>'2026供应商退货'!E6</f>
        <v>0</v>
      </c>
      <c r="K13" s="61">
        <f>'2027建议订货量'!E6</f>
        <v>0</v>
      </c>
      <c r="L13" s="61">
        <f t="shared" si="0"/>
        <v>0</v>
      </c>
      <c r="M13" s="62"/>
      <c r="N13" s="60" t="str">
        <f>建议原因!E6</f>
        <v>无净销量，建议0；先查现存库存及扫码映射</v>
      </c>
      <c r="O13" s="63" t="s">
        <v>35</v>
      </c>
    </row>
    <row r="14" ht="42" customHeight="1" spans="1:15">
      <c r="A14" s="58" t="s">
        <v>39</v>
      </c>
      <c r="B14" s="64" t="s">
        <v>36</v>
      </c>
      <c r="C14" s="65" t="s">
        <v>37</v>
      </c>
      <c r="D14" s="64" t="s">
        <v>38</v>
      </c>
      <c r="E14" s="66">
        <f>'2026进货数量'!F6</f>
        <v>0</v>
      </c>
      <c r="F14" s="66">
        <f>'2026净销售数量'!F6</f>
        <v>0</v>
      </c>
      <c r="G14" s="66">
        <v>0</v>
      </c>
      <c r="H14" s="66">
        <v>0</v>
      </c>
      <c r="I14" s="66">
        <v>0</v>
      </c>
      <c r="J14" s="66">
        <f>'2026供应商退货'!F6</f>
        <v>0</v>
      </c>
      <c r="K14" s="66">
        <f>'2027建议订货量'!F6</f>
        <v>0</v>
      </c>
      <c r="L14" s="66">
        <f t="shared" si="0"/>
        <v>0</v>
      </c>
      <c r="M14" s="67"/>
      <c r="N14" s="65" t="str">
        <f>建议原因!F6</f>
        <v>无净销量，建议0；先查现存库存及扫码映射</v>
      </c>
      <c r="O14" s="68" t="s">
        <v>35</v>
      </c>
    </row>
    <row r="15" ht="42" customHeight="1" spans="1:15">
      <c r="A15" s="47" t="s">
        <v>43</v>
      </c>
      <c r="B15" s="48" t="s">
        <v>21</v>
      </c>
      <c r="C15" s="49" t="s">
        <v>22</v>
      </c>
      <c r="D15" s="48" t="s">
        <v>23</v>
      </c>
      <c r="E15" s="50">
        <f>'2026进货数量'!B7</f>
        <v>144</v>
      </c>
      <c r="F15" s="50">
        <f>'2026净销售数量'!B7</f>
        <v>125</v>
      </c>
      <c r="G15" s="50">
        <v>0</v>
      </c>
      <c r="H15" s="50">
        <v>125</v>
      </c>
      <c r="I15" s="50">
        <v>0</v>
      </c>
      <c r="J15" s="50">
        <f>'2026供应商退货'!B7</f>
        <v>0</v>
      </c>
      <c r="K15" s="50">
        <f>'2027建议订货量'!B7</f>
        <v>144</v>
      </c>
      <c r="L15" s="50">
        <f t="shared" si="0"/>
        <v>0</v>
      </c>
      <c r="M15" s="51">
        <v>432</v>
      </c>
      <c r="N15" s="49" t="str">
        <f>建议原因!B7</f>
        <v>净销量125支持维持2026进货量；建议144；该货号整体退货率≥20%，谨慎减量</v>
      </c>
      <c r="O15" s="52" t="s">
        <v>44</v>
      </c>
    </row>
    <row r="16" ht="42" customHeight="1" spans="1:15">
      <c r="A16" s="47" t="s">
        <v>43</v>
      </c>
      <c r="B16" s="48" t="s">
        <v>25</v>
      </c>
      <c r="C16" s="49" t="s">
        <v>26</v>
      </c>
      <c r="D16" s="48" t="s">
        <v>23</v>
      </c>
      <c r="E16" s="50">
        <f>'2026进货数量'!C7</f>
        <v>432</v>
      </c>
      <c r="F16" s="50">
        <f>'2026净销售数量'!C7</f>
        <v>273</v>
      </c>
      <c r="G16" s="50">
        <v>0</v>
      </c>
      <c r="H16" s="50">
        <v>273</v>
      </c>
      <c r="I16" s="50">
        <v>0</v>
      </c>
      <c r="J16" s="50">
        <f>'2026供应商退货'!C7</f>
        <v>125</v>
      </c>
      <c r="K16" s="50">
        <f>'2027建议订货量'!C7</f>
        <v>288</v>
      </c>
      <c r="L16" s="50">
        <f t="shared" si="0"/>
        <v>-144</v>
      </c>
      <c r="M16" s="51"/>
      <c r="N16" s="49" t="str">
        <f>建议原因!C7</f>
        <v>按净销量273及包装规格，建议从2026进货432降至288；2026退供应商125张（视为季后库存）</v>
      </c>
      <c r="O16" s="52" t="s">
        <v>45</v>
      </c>
    </row>
    <row r="17" ht="42" customHeight="1" spans="1:15">
      <c r="A17" s="47" t="s">
        <v>43</v>
      </c>
      <c r="B17" s="48" t="s">
        <v>28</v>
      </c>
      <c r="C17" s="49" t="s">
        <v>29</v>
      </c>
      <c r="D17" s="48" t="s">
        <v>30</v>
      </c>
      <c r="E17" s="50">
        <f>'2026进货数量'!D7</f>
        <v>288</v>
      </c>
      <c r="F17" s="50">
        <f>'2026净销售数量'!D7</f>
        <v>167</v>
      </c>
      <c r="G17" s="50">
        <v>0</v>
      </c>
      <c r="H17" s="50">
        <v>0</v>
      </c>
      <c r="I17" s="50">
        <v>167</v>
      </c>
      <c r="J17" s="50">
        <f>'2026供应商退货'!D7</f>
        <v>73</v>
      </c>
      <c r="K17" s="50">
        <f>'2027建议订货量'!D7</f>
        <v>144</v>
      </c>
      <c r="L17" s="50">
        <f t="shared" si="0"/>
        <v>-144</v>
      </c>
      <c r="M17" s="51">
        <v>288</v>
      </c>
      <c r="N17" s="49" t="str">
        <f>建议原因!D7</f>
        <v>按净销量167及包装规格，建议从2026进货288降至144；2026退供应商73张（视为季后库存）；该货号整体退货率≥20%，谨慎减量</v>
      </c>
      <c r="O17" s="52" t="s">
        <v>46</v>
      </c>
    </row>
    <row r="18" ht="42" customHeight="1" spans="1:15">
      <c r="A18" s="47" t="s">
        <v>43</v>
      </c>
      <c r="B18" s="48" t="s">
        <v>32</v>
      </c>
      <c r="C18" s="49" t="s">
        <v>33</v>
      </c>
      <c r="D18" s="48" t="s">
        <v>34</v>
      </c>
      <c r="E18" s="50">
        <f>'2026进货数量'!E7</f>
        <v>0</v>
      </c>
      <c r="F18" s="50">
        <f>'2026净销售数量'!E7</f>
        <v>0</v>
      </c>
      <c r="G18" s="50">
        <v>0</v>
      </c>
      <c r="H18" s="50">
        <v>0</v>
      </c>
      <c r="I18" s="50">
        <v>0</v>
      </c>
      <c r="J18" s="50">
        <f>'2026供应商退货'!E7</f>
        <v>0</v>
      </c>
      <c r="K18" s="50">
        <f>'2027建议订货量'!E7</f>
        <v>0</v>
      </c>
      <c r="L18" s="50">
        <f t="shared" si="0"/>
        <v>0</v>
      </c>
      <c r="M18" s="51"/>
      <c r="N18" s="49" t="str">
        <f>建议原因!E7</f>
        <v>无净销量，建议0；先查现存库存及扫码映射</v>
      </c>
      <c r="O18" s="52" t="s">
        <v>35</v>
      </c>
    </row>
    <row r="19" ht="42" customHeight="1" spans="1:15">
      <c r="A19" s="47" t="s">
        <v>43</v>
      </c>
      <c r="B19" s="53" t="s">
        <v>36</v>
      </c>
      <c r="C19" s="54" t="s">
        <v>37</v>
      </c>
      <c r="D19" s="53" t="s">
        <v>38</v>
      </c>
      <c r="E19" s="55">
        <f>'2026进货数量'!F7</f>
        <v>0</v>
      </c>
      <c r="F19" s="55">
        <f>'2026净销售数量'!F7</f>
        <v>0</v>
      </c>
      <c r="G19" s="55">
        <v>0</v>
      </c>
      <c r="H19" s="55">
        <v>0</v>
      </c>
      <c r="I19" s="55">
        <v>0</v>
      </c>
      <c r="J19" s="55">
        <f>'2026供应商退货'!F7</f>
        <v>0</v>
      </c>
      <c r="K19" s="55">
        <f>'2027建议订货量'!F7</f>
        <v>0</v>
      </c>
      <c r="L19" s="55">
        <f t="shared" si="0"/>
        <v>0</v>
      </c>
      <c r="M19" s="56"/>
      <c r="N19" s="54" t="str">
        <f>建议原因!F7</f>
        <v>无净销量，建议0；先查现存库存及扫码映射</v>
      </c>
      <c r="O19" s="57" t="s">
        <v>35</v>
      </c>
    </row>
    <row r="20" ht="42" customHeight="1" spans="1:15">
      <c r="A20" s="58" t="s">
        <v>47</v>
      </c>
      <c r="B20" s="59" t="s">
        <v>21</v>
      </c>
      <c r="C20" s="60" t="s">
        <v>22</v>
      </c>
      <c r="D20" s="59" t="s">
        <v>23</v>
      </c>
      <c r="E20" s="61">
        <f>'2026进货数量'!B8</f>
        <v>288</v>
      </c>
      <c r="F20" s="61">
        <f>'2026净销售数量'!B8</f>
        <v>116</v>
      </c>
      <c r="G20" s="61">
        <v>0</v>
      </c>
      <c r="H20" s="61">
        <v>116</v>
      </c>
      <c r="I20" s="61">
        <v>0</v>
      </c>
      <c r="J20" s="61">
        <f>'2026供应商退货'!B8</f>
        <v>187</v>
      </c>
      <c r="K20" s="61">
        <f>'2027建议订货量'!B8</f>
        <v>144</v>
      </c>
      <c r="L20" s="61">
        <f t="shared" si="0"/>
        <v>-144</v>
      </c>
      <c r="M20" s="62">
        <v>288</v>
      </c>
      <c r="N20" s="60" t="str">
        <f>建议原因!B8</f>
        <v>按净销量116及包装规格，建议从2026进货288降至144；2026退供应商187张（视为季后库存）；该货号整体退货率≥20%，谨慎减量</v>
      </c>
      <c r="O20" s="63" t="s">
        <v>48</v>
      </c>
    </row>
    <row r="21" ht="42" customHeight="1" spans="1:15">
      <c r="A21" s="58" t="s">
        <v>47</v>
      </c>
      <c r="B21" s="59" t="s">
        <v>25</v>
      </c>
      <c r="C21" s="60" t="s">
        <v>26</v>
      </c>
      <c r="D21" s="59" t="s">
        <v>23</v>
      </c>
      <c r="E21" s="61">
        <f>'2026进货数量'!C8</f>
        <v>144</v>
      </c>
      <c r="F21" s="61">
        <f>'2026净销售数量'!C8</f>
        <v>63</v>
      </c>
      <c r="G21" s="61">
        <v>0</v>
      </c>
      <c r="H21" s="61">
        <v>63</v>
      </c>
      <c r="I21" s="61">
        <v>0</v>
      </c>
      <c r="J21" s="61">
        <f>'2026供应商退货'!C8</f>
        <v>0</v>
      </c>
      <c r="K21" s="61">
        <f>'2027建议订货量'!C8</f>
        <v>0</v>
      </c>
      <c r="L21" s="61">
        <f t="shared" si="0"/>
        <v>-144</v>
      </c>
      <c r="M21" s="62"/>
      <c r="N21" s="60" t="str">
        <f>建议原因!C8</f>
        <v>净销量63，不足半套72；建议0，由中央库存补货</v>
      </c>
      <c r="O21" s="63" t="s">
        <v>49</v>
      </c>
    </row>
    <row r="22" ht="42" customHeight="1" spans="1:15">
      <c r="A22" s="58" t="s">
        <v>47</v>
      </c>
      <c r="B22" s="59" t="s">
        <v>28</v>
      </c>
      <c r="C22" s="60" t="s">
        <v>29</v>
      </c>
      <c r="D22" s="59" t="s">
        <v>30</v>
      </c>
      <c r="E22" s="61">
        <f>'2026进货数量'!D8</f>
        <v>288</v>
      </c>
      <c r="F22" s="61">
        <f>'2026净销售数量'!D8</f>
        <v>168</v>
      </c>
      <c r="G22" s="61">
        <v>0</v>
      </c>
      <c r="H22" s="61">
        <v>0</v>
      </c>
      <c r="I22" s="61">
        <v>168</v>
      </c>
      <c r="J22" s="61">
        <f>'2026供应商退货'!D8</f>
        <v>99</v>
      </c>
      <c r="K22" s="61">
        <f>'2027建议订货量'!D8</f>
        <v>144</v>
      </c>
      <c r="L22" s="61">
        <f t="shared" si="0"/>
        <v>-144</v>
      </c>
      <c r="M22" s="62">
        <v>288</v>
      </c>
      <c r="N22" s="60" t="str">
        <f>建议原因!D8</f>
        <v>按净销量168及包装规格，建议从2026进货288降至144；2026退供应商99张（视为季后库存）；该货号整体退货率≥20%，谨慎减量</v>
      </c>
      <c r="O22" s="63" t="s">
        <v>50</v>
      </c>
    </row>
    <row r="23" ht="42" customHeight="1" spans="1:15">
      <c r="A23" s="58" t="s">
        <v>47</v>
      </c>
      <c r="B23" s="59" t="s">
        <v>32</v>
      </c>
      <c r="C23" s="60" t="s">
        <v>33</v>
      </c>
      <c r="D23" s="59" t="s">
        <v>34</v>
      </c>
      <c r="E23" s="61">
        <f>'2026进货数量'!E8</f>
        <v>0</v>
      </c>
      <c r="F23" s="61">
        <f>'2026净销售数量'!E8</f>
        <v>0</v>
      </c>
      <c r="G23" s="61">
        <v>0</v>
      </c>
      <c r="H23" s="61">
        <v>0</v>
      </c>
      <c r="I23" s="61">
        <v>0</v>
      </c>
      <c r="J23" s="61">
        <f>'2026供应商退货'!E8</f>
        <v>0</v>
      </c>
      <c r="K23" s="61">
        <f>'2027建议订货量'!E8</f>
        <v>0</v>
      </c>
      <c r="L23" s="61">
        <f t="shared" si="0"/>
        <v>0</v>
      </c>
      <c r="M23" s="62"/>
      <c r="N23" s="60" t="str">
        <f>建议原因!E8</f>
        <v>无净销量，建议0；先查现存库存及扫码映射</v>
      </c>
      <c r="O23" s="63" t="s">
        <v>35</v>
      </c>
    </row>
    <row r="24" ht="42" customHeight="1" spans="1:15">
      <c r="A24" s="58" t="s">
        <v>47</v>
      </c>
      <c r="B24" s="64" t="s">
        <v>36</v>
      </c>
      <c r="C24" s="65" t="s">
        <v>37</v>
      </c>
      <c r="D24" s="64" t="s">
        <v>38</v>
      </c>
      <c r="E24" s="66">
        <f>'2026进货数量'!F8</f>
        <v>0</v>
      </c>
      <c r="F24" s="66">
        <f>'2026净销售数量'!F8</f>
        <v>0</v>
      </c>
      <c r="G24" s="66">
        <v>0</v>
      </c>
      <c r="H24" s="66">
        <v>0</v>
      </c>
      <c r="I24" s="66">
        <v>0</v>
      </c>
      <c r="J24" s="66">
        <f>'2026供应商退货'!F8</f>
        <v>0</v>
      </c>
      <c r="K24" s="66">
        <f>'2027建议订货量'!F8</f>
        <v>0</v>
      </c>
      <c r="L24" s="66">
        <f t="shared" si="0"/>
        <v>0</v>
      </c>
      <c r="M24" s="67"/>
      <c r="N24" s="65" t="str">
        <f>建议原因!F8</f>
        <v>无净销量，建议0；先查现存库存及扫码映射</v>
      </c>
      <c r="O24" s="68" t="s">
        <v>35</v>
      </c>
    </row>
    <row r="25" ht="42" customHeight="1" spans="1:15">
      <c r="A25" s="47" t="s">
        <v>51</v>
      </c>
      <c r="B25" s="48" t="s">
        <v>21</v>
      </c>
      <c r="C25" s="49" t="s">
        <v>22</v>
      </c>
      <c r="D25" s="48" t="s">
        <v>23</v>
      </c>
      <c r="E25" s="50">
        <f>'2026进货数量'!B9</f>
        <v>144</v>
      </c>
      <c r="F25" s="50">
        <f>'2026净销售数量'!B9</f>
        <v>65</v>
      </c>
      <c r="G25" s="50">
        <v>0</v>
      </c>
      <c r="H25" s="50">
        <v>65</v>
      </c>
      <c r="I25" s="50">
        <v>0</v>
      </c>
      <c r="J25" s="50">
        <f>'2026供应商退货'!B9</f>
        <v>66</v>
      </c>
      <c r="K25" s="50">
        <f>'2027建议订货量'!B9</f>
        <v>0</v>
      </c>
      <c r="L25" s="50">
        <f t="shared" si="0"/>
        <v>-144</v>
      </c>
      <c r="M25" s="51">
        <v>144</v>
      </c>
      <c r="N25" s="49" t="str">
        <f>建议原因!B9</f>
        <v>净销量65，不足半套72；建议0，由中央库存补货；2026退供应商66张（视为季后库存）；该货号整体退货率≥20%，谨慎减量</v>
      </c>
      <c r="O25" s="52" t="s">
        <v>52</v>
      </c>
    </row>
    <row r="26" ht="42" customHeight="1" spans="1:15">
      <c r="A26" s="47" t="s">
        <v>51</v>
      </c>
      <c r="B26" s="48" t="s">
        <v>25</v>
      </c>
      <c r="C26" s="49" t="s">
        <v>26</v>
      </c>
      <c r="D26" s="48" t="s">
        <v>23</v>
      </c>
      <c r="E26" s="50">
        <f>'2026进货数量'!C9</f>
        <v>0</v>
      </c>
      <c r="F26" s="50">
        <f>'2026净销售数量'!C9</f>
        <v>0</v>
      </c>
      <c r="G26" s="50">
        <v>0</v>
      </c>
      <c r="H26" s="50">
        <v>0</v>
      </c>
      <c r="I26" s="50">
        <v>0</v>
      </c>
      <c r="J26" s="50">
        <f>'2026供应商退货'!C9</f>
        <v>0</v>
      </c>
      <c r="K26" s="50">
        <f>'2027建议订货量'!C9</f>
        <v>0</v>
      </c>
      <c r="L26" s="50">
        <f t="shared" si="0"/>
        <v>0</v>
      </c>
      <c r="M26" s="51"/>
      <c r="N26" s="49" t="str">
        <f>建议原因!C9</f>
        <v>无净销量，建议0；先查现存库存及扫码映射</v>
      </c>
      <c r="O26" s="52" t="s">
        <v>35</v>
      </c>
    </row>
    <row r="27" ht="42" customHeight="1" spans="1:15">
      <c r="A27" s="47" t="s">
        <v>51</v>
      </c>
      <c r="B27" s="48" t="s">
        <v>28</v>
      </c>
      <c r="C27" s="49" t="s">
        <v>29</v>
      </c>
      <c r="D27" s="48" t="s">
        <v>30</v>
      </c>
      <c r="E27" s="50">
        <f>'2026进货数量'!D9</f>
        <v>288</v>
      </c>
      <c r="F27" s="50">
        <f>'2026净销售数量'!D9</f>
        <v>108</v>
      </c>
      <c r="G27" s="50">
        <v>0</v>
      </c>
      <c r="H27" s="50">
        <v>0</v>
      </c>
      <c r="I27" s="50">
        <v>108</v>
      </c>
      <c r="J27" s="50">
        <f>'2026供应商退货'!D9</f>
        <v>126</v>
      </c>
      <c r="K27" s="50">
        <f>'2027建议订货量'!D9</f>
        <v>144</v>
      </c>
      <c r="L27" s="50">
        <f t="shared" si="0"/>
        <v>-144</v>
      </c>
      <c r="M27" s="51">
        <v>144</v>
      </c>
      <c r="N27" s="49" t="str">
        <f>建议原因!D9</f>
        <v>按净销量108及包装规格，建议从2026进货288降至144；2026退供应商126张（视为季后库存）；该货号整体退货率≥20%，谨慎减量</v>
      </c>
      <c r="O27" s="52" t="s">
        <v>53</v>
      </c>
    </row>
    <row r="28" ht="42" customHeight="1" spans="1:15">
      <c r="A28" s="47" t="s">
        <v>51</v>
      </c>
      <c r="B28" s="48" t="s">
        <v>32</v>
      </c>
      <c r="C28" s="49" t="s">
        <v>33</v>
      </c>
      <c r="D28" s="48" t="s">
        <v>34</v>
      </c>
      <c r="E28" s="50">
        <f>'2026进货数量'!E9</f>
        <v>0</v>
      </c>
      <c r="F28" s="50">
        <f>'2026净销售数量'!E9</f>
        <v>0</v>
      </c>
      <c r="G28" s="50">
        <v>0</v>
      </c>
      <c r="H28" s="50">
        <v>0</v>
      </c>
      <c r="I28" s="50">
        <v>0</v>
      </c>
      <c r="J28" s="50">
        <f>'2026供应商退货'!E9</f>
        <v>0</v>
      </c>
      <c r="K28" s="50">
        <f>'2027建议订货量'!E9</f>
        <v>0</v>
      </c>
      <c r="L28" s="50">
        <f t="shared" si="0"/>
        <v>0</v>
      </c>
      <c r="M28" s="51"/>
      <c r="N28" s="49" t="str">
        <f>建议原因!E9</f>
        <v>无净销量，建议0；先查现存库存及扫码映射</v>
      </c>
      <c r="O28" s="52" t="s">
        <v>35</v>
      </c>
    </row>
    <row r="29" ht="42" customHeight="1" spans="1:15">
      <c r="A29" s="47" t="s">
        <v>51</v>
      </c>
      <c r="B29" s="53" t="s">
        <v>36</v>
      </c>
      <c r="C29" s="54" t="s">
        <v>37</v>
      </c>
      <c r="D29" s="53" t="s">
        <v>38</v>
      </c>
      <c r="E29" s="55">
        <f>'2026进货数量'!F9</f>
        <v>0</v>
      </c>
      <c r="F29" s="55">
        <f>'2026净销售数量'!F9</f>
        <v>0</v>
      </c>
      <c r="G29" s="55">
        <v>0</v>
      </c>
      <c r="H29" s="55">
        <v>0</v>
      </c>
      <c r="I29" s="55">
        <v>0</v>
      </c>
      <c r="J29" s="55">
        <f>'2026供应商退货'!F9</f>
        <v>0</v>
      </c>
      <c r="K29" s="55">
        <f>'2027建议订货量'!F9</f>
        <v>0</v>
      </c>
      <c r="L29" s="55">
        <f t="shared" si="0"/>
        <v>0</v>
      </c>
      <c r="M29" s="56"/>
      <c r="N29" s="54" t="str">
        <f>建议原因!F9</f>
        <v>无净销量，建议0；先查现存库存及扫码映射</v>
      </c>
      <c r="O29" s="57" t="s">
        <v>35</v>
      </c>
    </row>
    <row r="30" ht="42" customHeight="1" spans="1:15">
      <c r="A30" s="58" t="s">
        <v>54</v>
      </c>
      <c r="B30" s="59" t="s">
        <v>21</v>
      </c>
      <c r="C30" s="60" t="s">
        <v>22</v>
      </c>
      <c r="D30" s="59" t="s">
        <v>23</v>
      </c>
      <c r="E30" s="61">
        <f>'2026进货数量'!B10</f>
        <v>144</v>
      </c>
      <c r="F30" s="61">
        <f>'2026净销售数量'!B10</f>
        <v>126</v>
      </c>
      <c r="G30" s="61">
        <v>0</v>
      </c>
      <c r="H30" s="61">
        <v>126</v>
      </c>
      <c r="I30" s="61">
        <v>0</v>
      </c>
      <c r="J30" s="61">
        <f>'2026供应商退货'!B10</f>
        <v>111</v>
      </c>
      <c r="K30" s="61">
        <f>'2027建议订货量'!B10</f>
        <v>144</v>
      </c>
      <c r="L30" s="61">
        <f t="shared" si="0"/>
        <v>0</v>
      </c>
      <c r="M30" s="62">
        <v>288</v>
      </c>
      <c r="N30" s="60" t="str">
        <f>建议原因!B10</f>
        <v>净销量126支持维持2026进货量；建议144；2026退供应商111张（视为季后库存）；该货号整体退货率≥20%，谨慎减量</v>
      </c>
      <c r="O30" s="63" t="s">
        <v>55</v>
      </c>
    </row>
    <row r="31" ht="42" customHeight="1" spans="1:15">
      <c r="A31" s="58" t="s">
        <v>54</v>
      </c>
      <c r="B31" s="59" t="s">
        <v>25</v>
      </c>
      <c r="C31" s="60" t="s">
        <v>26</v>
      </c>
      <c r="D31" s="59" t="s">
        <v>23</v>
      </c>
      <c r="E31" s="61">
        <f>'2026进货数量'!C10</f>
        <v>144</v>
      </c>
      <c r="F31" s="61">
        <f>'2026净销售数量'!C10</f>
        <v>126</v>
      </c>
      <c r="G31" s="61">
        <v>0</v>
      </c>
      <c r="H31" s="61">
        <v>126</v>
      </c>
      <c r="I31" s="61">
        <v>0</v>
      </c>
      <c r="J31" s="61">
        <f>'2026供应商退货'!C10</f>
        <v>0</v>
      </c>
      <c r="K31" s="61">
        <f>'2027建议订货量'!C10</f>
        <v>144</v>
      </c>
      <c r="L31" s="61">
        <f t="shared" si="0"/>
        <v>0</v>
      </c>
      <c r="M31" s="62"/>
      <c r="N31" s="60" t="str">
        <f>建议原因!C10</f>
        <v>净销量126支持维持2026进货量；建议144</v>
      </c>
      <c r="O31" s="63" t="s">
        <v>56</v>
      </c>
    </row>
    <row r="32" ht="42" customHeight="1" spans="1:15">
      <c r="A32" s="58" t="s">
        <v>54</v>
      </c>
      <c r="B32" s="59" t="s">
        <v>28</v>
      </c>
      <c r="C32" s="60" t="s">
        <v>29</v>
      </c>
      <c r="D32" s="59" t="s">
        <v>30</v>
      </c>
      <c r="E32" s="61">
        <f>'2026进货数量'!D10</f>
        <v>0</v>
      </c>
      <c r="F32" s="61">
        <f>'2026净销售数量'!D10</f>
        <v>0</v>
      </c>
      <c r="G32" s="61">
        <v>0</v>
      </c>
      <c r="H32" s="61">
        <v>0</v>
      </c>
      <c r="I32" s="61">
        <v>0</v>
      </c>
      <c r="J32" s="61">
        <f>'2026供应商退货'!D10</f>
        <v>0</v>
      </c>
      <c r="K32" s="61">
        <f>'2027建议订货量'!D10</f>
        <v>0</v>
      </c>
      <c r="L32" s="61">
        <f t="shared" si="0"/>
        <v>0</v>
      </c>
      <c r="M32" s="62">
        <v>144</v>
      </c>
      <c r="N32" s="60" t="str">
        <f>建议原因!D10</f>
        <v>无净销量，建议0；先查现存库存及扫码映射；该货号整体退货率≥20%，谨慎减量</v>
      </c>
      <c r="O32" s="63" t="s">
        <v>35</v>
      </c>
    </row>
    <row r="33" ht="42" customHeight="1" spans="1:15">
      <c r="A33" s="58" t="s">
        <v>54</v>
      </c>
      <c r="B33" s="59" t="s">
        <v>32</v>
      </c>
      <c r="C33" s="60" t="s">
        <v>33</v>
      </c>
      <c r="D33" s="59" t="s">
        <v>34</v>
      </c>
      <c r="E33" s="61">
        <f>'2026进货数量'!E10</f>
        <v>0</v>
      </c>
      <c r="F33" s="61">
        <f>'2026净销售数量'!E10</f>
        <v>0</v>
      </c>
      <c r="G33" s="61">
        <v>0</v>
      </c>
      <c r="H33" s="61">
        <v>0</v>
      </c>
      <c r="I33" s="61">
        <v>0</v>
      </c>
      <c r="J33" s="61">
        <f>'2026供应商退货'!E10</f>
        <v>0</v>
      </c>
      <c r="K33" s="61">
        <f>'2027建议订货量'!E10</f>
        <v>0</v>
      </c>
      <c r="L33" s="61">
        <f t="shared" si="0"/>
        <v>0</v>
      </c>
      <c r="M33" s="62"/>
      <c r="N33" s="60" t="str">
        <f>建议原因!E10</f>
        <v>无净销量，建议0；先查现存库存及扫码映射</v>
      </c>
      <c r="O33" s="63" t="s">
        <v>35</v>
      </c>
    </row>
    <row r="34" ht="42" customHeight="1" spans="1:15">
      <c r="A34" s="58" t="s">
        <v>54</v>
      </c>
      <c r="B34" s="64" t="s">
        <v>36</v>
      </c>
      <c r="C34" s="65" t="s">
        <v>37</v>
      </c>
      <c r="D34" s="64" t="s">
        <v>38</v>
      </c>
      <c r="E34" s="66">
        <f>'2026进货数量'!F10</f>
        <v>0</v>
      </c>
      <c r="F34" s="66">
        <f>'2026净销售数量'!F10</f>
        <v>0</v>
      </c>
      <c r="G34" s="66">
        <v>0</v>
      </c>
      <c r="H34" s="66">
        <v>0</v>
      </c>
      <c r="I34" s="66">
        <v>0</v>
      </c>
      <c r="J34" s="66">
        <f>'2026供应商退货'!F10</f>
        <v>0</v>
      </c>
      <c r="K34" s="66">
        <f>'2027建议订货量'!F10</f>
        <v>0</v>
      </c>
      <c r="L34" s="66">
        <f t="shared" si="0"/>
        <v>0</v>
      </c>
      <c r="M34" s="67"/>
      <c r="N34" s="65" t="str">
        <f>建议原因!F10</f>
        <v>无净销量，建议0；先查现存库存及扫码映射</v>
      </c>
      <c r="O34" s="68" t="s">
        <v>35</v>
      </c>
    </row>
    <row r="35" ht="42" customHeight="1" spans="1:15">
      <c r="A35" s="47" t="s">
        <v>57</v>
      </c>
      <c r="B35" s="48" t="s">
        <v>21</v>
      </c>
      <c r="C35" s="49" t="s">
        <v>22</v>
      </c>
      <c r="D35" s="48" t="s">
        <v>23</v>
      </c>
      <c r="E35" s="50">
        <f>'2026进货数量'!B11</f>
        <v>288</v>
      </c>
      <c r="F35" s="50">
        <f>'2026净销售数量'!B11</f>
        <v>151</v>
      </c>
      <c r="G35" s="50">
        <v>0</v>
      </c>
      <c r="H35" s="50">
        <v>151</v>
      </c>
      <c r="I35" s="50">
        <v>0</v>
      </c>
      <c r="J35" s="50">
        <f>'2026供应商退货'!B11</f>
        <v>0</v>
      </c>
      <c r="K35" s="50">
        <f>'2027建议订货量'!B11</f>
        <v>144</v>
      </c>
      <c r="L35" s="50">
        <f t="shared" si="0"/>
        <v>-144</v>
      </c>
      <c r="M35" s="51">
        <v>288</v>
      </c>
      <c r="N35" s="49" t="str">
        <f>建议原因!B11</f>
        <v>按净销量151及包装规格，建议从2026进货288降至144；该货号整体退货率≥20%，谨慎减量</v>
      </c>
      <c r="O35" s="52" t="s">
        <v>58</v>
      </c>
    </row>
    <row r="36" ht="42" customHeight="1" spans="1:15">
      <c r="A36" s="47" t="s">
        <v>57</v>
      </c>
      <c r="B36" s="48" t="s">
        <v>25</v>
      </c>
      <c r="C36" s="49" t="s">
        <v>26</v>
      </c>
      <c r="D36" s="48" t="s">
        <v>23</v>
      </c>
      <c r="E36" s="50">
        <f>'2026进货数量'!C11</f>
        <v>288</v>
      </c>
      <c r="F36" s="50">
        <f>'2026净销售数量'!C11</f>
        <v>99</v>
      </c>
      <c r="G36" s="50">
        <v>0</v>
      </c>
      <c r="H36" s="50">
        <v>99</v>
      </c>
      <c r="I36" s="50">
        <v>0</v>
      </c>
      <c r="J36" s="50">
        <f>'2026供应商退货'!C11</f>
        <v>178</v>
      </c>
      <c r="K36" s="50">
        <f>'2027建议订货量'!C11</f>
        <v>144</v>
      </c>
      <c r="L36" s="50">
        <f t="shared" si="0"/>
        <v>-144</v>
      </c>
      <c r="M36" s="51"/>
      <c r="N36" s="49" t="str">
        <f>建议原因!C11</f>
        <v>按净销量99及包装规格，建议从2026进货288降至144；2026退供应商178张（视为季后库存）</v>
      </c>
      <c r="O36" s="52" t="s">
        <v>59</v>
      </c>
    </row>
    <row r="37" ht="42" customHeight="1" spans="1:15">
      <c r="A37" s="47" t="s">
        <v>57</v>
      </c>
      <c r="B37" s="48" t="s">
        <v>28</v>
      </c>
      <c r="C37" s="49" t="s">
        <v>29</v>
      </c>
      <c r="D37" s="48" t="s">
        <v>30</v>
      </c>
      <c r="E37" s="50">
        <f>'2026进货数量'!D11</f>
        <v>288</v>
      </c>
      <c r="F37" s="50">
        <f>'2026净销售数量'!D11</f>
        <v>132</v>
      </c>
      <c r="G37" s="50">
        <v>0</v>
      </c>
      <c r="H37" s="50">
        <v>0</v>
      </c>
      <c r="I37" s="50">
        <v>132</v>
      </c>
      <c r="J37" s="50">
        <f>'2026供应商退货'!D11</f>
        <v>113</v>
      </c>
      <c r="K37" s="50">
        <f>'2027建议订货量'!D11</f>
        <v>144</v>
      </c>
      <c r="L37" s="50">
        <f t="shared" si="0"/>
        <v>-144</v>
      </c>
      <c r="M37" s="51">
        <v>288</v>
      </c>
      <c r="N37" s="49" t="str">
        <f>建议原因!D11</f>
        <v>按净销量132及包装规格，建议从2026进货288降至144；2026退供应商113张（视为季后库存）；该货号整体退货率≥20%，谨慎减量</v>
      </c>
      <c r="O37" s="52" t="s">
        <v>60</v>
      </c>
    </row>
    <row r="38" ht="42" customHeight="1" spans="1:15">
      <c r="A38" s="47" t="s">
        <v>57</v>
      </c>
      <c r="B38" s="48" t="s">
        <v>32</v>
      </c>
      <c r="C38" s="49" t="s">
        <v>33</v>
      </c>
      <c r="D38" s="48" t="s">
        <v>34</v>
      </c>
      <c r="E38" s="50">
        <f>'2026进货数量'!E11</f>
        <v>300</v>
      </c>
      <c r="F38" s="50">
        <f>'2026净销售数量'!E11</f>
        <v>322</v>
      </c>
      <c r="G38" s="50">
        <v>322</v>
      </c>
      <c r="H38" s="50">
        <v>0</v>
      </c>
      <c r="I38" s="50">
        <v>0</v>
      </c>
      <c r="J38" s="50">
        <f>'2026供应商退货'!E11</f>
        <v>0</v>
      </c>
      <c r="K38" s="50">
        <f>'2027建议订货量'!E11</f>
        <v>300</v>
      </c>
      <c r="L38" s="50">
        <f t="shared" si="0"/>
        <v>0</v>
      </c>
      <c r="M38" s="51">
        <v>300</v>
      </c>
      <c r="N38" s="49" t="str">
        <f>建议原因!E11</f>
        <v>净销量322支持维持2026进货量；建议300</v>
      </c>
      <c r="O38" s="52" t="s">
        <v>61</v>
      </c>
    </row>
    <row r="39" ht="42" customHeight="1" spans="1:15">
      <c r="A39" s="47" t="s">
        <v>57</v>
      </c>
      <c r="B39" s="53" t="s">
        <v>36</v>
      </c>
      <c r="C39" s="54" t="s">
        <v>37</v>
      </c>
      <c r="D39" s="53" t="s">
        <v>38</v>
      </c>
      <c r="E39" s="55">
        <f>'2026进货数量'!F11</f>
        <v>0</v>
      </c>
      <c r="F39" s="55">
        <f>'2026净销售数量'!F11</f>
        <v>47</v>
      </c>
      <c r="G39" s="55">
        <v>47</v>
      </c>
      <c r="H39" s="55">
        <v>0</v>
      </c>
      <c r="I39" s="55">
        <v>0</v>
      </c>
      <c r="J39" s="55">
        <f>'2026供应商退货'!F11</f>
        <v>0</v>
      </c>
      <c r="K39" s="55">
        <f>'2027建议订货量'!F11</f>
        <v>0</v>
      </c>
      <c r="L39" s="55">
        <f t="shared" si="0"/>
        <v>0</v>
      </c>
      <c r="M39" s="56"/>
      <c r="N39" s="54" t="str">
        <f>建议原因!F11</f>
        <v>净销量47，不足半套150；建议0，由中央库存补货</v>
      </c>
      <c r="O39" s="57" t="s">
        <v>62</v>
      </c>
    </row>
    <row r="40" ht="42" customHeight="1" spans="1:15">
      <c r="A40" s="58" t="s">
        <v>63</v>
      </c>
      <c r="B40" s="59" t="s">
        <v>21</v>
      </c>
      <c r="C40" s="60" t="s">
        <v>22</v>
      </c>
      <c r="D40" s="59" t="s">
        <v>23</v>
      </c>
      <c r="E40" s="61">
        <f>'2026进货数量'!B12</f>
        <v>288</v>
      </c>
      <c r="F40" s="61">
        <f>'2026净销售数量'!B12</f>
        <v>177</v>
      </c>
      <c r="G40" s="61">
        <v>0</v>
      </c>
      <c r="H40" s="61">
        <v>177</v>
      </c>
      <c r="I40" s="61">
        <v>0</v>
      </c>
      <c r="J40" s="61">
        <f>'2026供应商退货'!B12</f>
        <v>0</v>
      </c>
      <c r="K40" s="61">
        <f>'2027建议订货量'!B12</f>
        <v>144</v>
      </c>
      <c r="L40" s="61">
        <f t="shared" si="0"/>
        <v>-144</v>
      </c>
      <c r="M40" s="62">
        <v>288</v>
      </c>
      <c r="N40" s="60" t="str">
        <f>建议原因!B12</f>
        <v>按净销量177及包装规格，建议从2026进货288降至144；该货号整体退货率≥20%，谨慎减量</v>
      </c>
      <c r="O40" s="63" t="s">
        <v>64</v>
      </c>
    </row>
    <row r="41" ht="42" customHeight="1" spans="1:15">
      <c r="A41" s="58" t="s">
        <v>63</v>
      </c>
      <c r="B41" s="59" t="s">
        <v>25</v>
      </c>
      <c r="C41" s="60" t="s">
        <v>26</v>
      </c>
      <c r="D41" s="59" t="s">
        <v>23</v>
      </c>
      <c r="E41" s="61">
        <f>'2026进货数量'!C12</f>
        <v>288</v>
      </c>
      <c r="F41" s="61">
        <f>'2026净销售数量'!C12</f>
        <v>113</v>
      </c>
      <c r="G41" s="61">
        <v>0</v>
      </c>
      <c r="H41" s="61">
        <v>113</v>
      </c>
      <c r="I41" s="61">
        <v>0</v>
      </c>
      <c r="J41" s="61">
        <f>'2026供应商退货'!C12</f>
        <v>0</v>
      </c>
      <c r="K41" s="61">
        <f>'2027建议订货量'!C12</f>
        <v>144</v>
      </c>
      <c r="L41" s="61">
        <f t="shared" si="0"/>
        <v>-144</v>
      </c>
      <c r="M41" s="62"/>
      <c r="N41" s="60" t="str">
        <f>建议原因!C12</f>
        <v>按净销量113及包装规格，建议从2026进货288降至144</v>
      </c>
      <c r="O41" s="63" t="s">
        <v>65</v>
      </c>
    </row>
    <row r="42" ht="42" customHeight="1" spans="1:15">
      <c r="A42" s="58" t="s">
        <v>63</v>
      </c>
      <c r="B42" s="59" t="s">
        <v>28</v>
      </c>
      <c r="C42" s="60" t="s">
        <v>29</v>
      </c>
      <c r="D42" s="59" t="s">
        <v>30</v>
      </c>
      <c r="E42" s="61">
        <f>'2026进货数量'!D12</f>
        <v>0</v>
      </c>
      <c r="F42" s="61">
        <f>'2026净销售数量'!D12</f>
        <v>0</v>
      </c>
      <c r="G42" s="61">
        <v>0</v>
      </c>
      <c r="H42" s="61">
        <v>0</v>
      </c>
      <c r="I42" s="61">
        <v>0</v>
      </c>
      <c r="J42" s="61">
        <f>'2026供应商退货'!D12</f>
        <v>0</v>
      </c>
      <c r="K42" s="61">
        <f>'2027建议订货量'!D12</f>
        <v>0</v>
      </c>
      <c r="L42" s="61">
        <f t="shared" si="0"/>
        <v>0</v>
      </c>
      <c r="M42" s="62">
        <v>144</v>
      </c>
      <c r="N42" s="60" t="str">
        <f>建议原因!D12</f>
        <v>无净销量，建议0；先查现存库存及扫码映射；该货号整体退货率≥20%，谨慎减量</v>
      </c>
      <c r="O42" s="63" t="s">
        <v>35</v>
      </c>
    </row>
    <row r="43" ht="42" customHeight="1" spans="1:15">
      <c r="A43" s="58" t="s">
        <v>63</v>
      </c>
      <c r="B43" s="59" t="s">
        <v>32</v>
      </c>
      <c r="C43" s="60" t="s">
        <v>33</v>
      </c>
      <c r="D43" s="59" t="s">
        <v>34</v>
      </c>
      <c r="E43" s="61">
        <f>'2026进货数量'!E12</f>
        <v>0</v>
      </c>
      <c r="F43" s="61">
        <f>'2026净销售数量'!E12</f>
        <v>0</v>
      </c>
      <c r="G43" s="61">
        <v>0</v>
      </c>
      <c r="H43" s="61">
        <v>0</v>
      </c>
      <c r="I43" s="61">
        <v>0</v>
      </c>
      <c r="J43" s="61">
        <f>'2026供应商退货'!E12</f>
        <v>0</v>
      </c>
      <c r="K43" s="61">
        <f>'2027建议订货量'!E12</f>
        <v>0</v>
      </c>
      <c r="L43" s="61">
        <f t="shared" si="0"/>
        <v>0</v>
      </c>
      <c r="M43" s="62"/>
      <c r="N43" s="60" t="str">
        <f>建议原因!E12</f>
        <v>无净销量，建议0；先查现存库存及扫码映射</v>
      </c>
      <c r="O43" s="63" t="s">
        <v>35</v>
      </c>
    </row>
    <row r="44" ht="42" customHeight="1" spans="1:15">
      <c r="A44" s="58" t="s">
        <v>63</v>
      </c>
      <c r="B44" s="64" t="s">
        <v>36</v>
      </c>
      <c r="C44" s="65" t="s">
        <v>37</v>
      </c>
      <c r="D44" s="64" t="s">
        <v>38</v>
      </c>
      <c r="E44" s="66">
        <f>'2026进货数量'!F12</f>
        <v>0</v>
      </c>
      <c r="F44" s="66">
        <f>'2026净销售数量'!F12</f>
        <v>0</v>
      </c>
      <c r="G44" s="66">
        <v>0</v>
      </c>
      <c r="H44" s="66">
        <v>0</v>
      </c>
      <c r="I44" s="66">
        <v>0</v>
      </c>
      <c r="J44" s="66">
        <f>'2026供应商退货'!F12</f>
        <v>0</v>
      </c>
      <c r="K44" s="66">
        <f>'2027建议订货量'!F12</f>
        <v>0</v>
      </c>
      <c r="L44" s="66">
        <f t="shared" si="0"/>
        <v>0</v>
      </c>
      <c r="M44" s="67"/>
      <c r="N44" s="65" t="str">
        <f>建议原因!F12</f>
        <v>无净销量，建议0；先查现存库存及扫码映射</v>
      </c>
      <c r="O44" s="68" t="s">
        <v>35</v>
      </c>
    </row>
    <row r="45" ht="42" customHeight="1" spans="1:15">
      <c r="A45" s="47" t="s">
        <v>66</v>
      </c>
      <c r="B45" s="48" t="s">
        <v>21</v>
      </c>
      <c r="C45" s="49" t="s">
        <v>22</v>
      </c>
      <c r="D45" s="48" t="s">
        <v>23</v>
      </c>
      <c r="E45" s="50">
        <f>'2026进货数量'!B13</f>
        <v>288</v>
      </c>
      <c r="F45" s="50">
        <f>'2026净销售数量'!B13</f>
        <v>218</v>
      </c>
      <c r="G45" s="50">
        <v>0</v>
      </c>
      <c r="H45" s="50">
        <v>218</v>
      </c>
      <c r="I45" s="50">
        <v>0</v>
      </c>
      <c r="J45" s="50">
        <f>'2026供应商退货'!B13</f>
        <v>59</v>
      </c>
      <c r="K45" s="50">
        <f>'2027建议订货量'!B13</f>
        <v>288</v>
      </c>
      <c r="L45" s="50">
        <f t="shared" si="0"/>
        <v>0</v>
      </c>
      <c r="M45" s="51">
        <v>432</v>
      </c>
      <c r="N45" s="49" t="str">
        <f>建议原因!B13</f>
        <v>净销量218支持维持2026进货量；建议288；2026退供应商59张（视为季后库存）；该货号整体退货率≥20%，谨慎减量</v>
      </c>
      <c r="O45" s="52" t="s">
        <v>67</v>
      </c>
    </row>
    <row r="46" ht="42" customHeight="1" spans="1:15">
      <c r="A46" s="47" t="s">
        <v>66</v>
      </c>
      <c r="B46" s="48" t="s">
        <v>25</v>
      </c>
      <c r="C46" s="49" t="s">
        <v>26</v>
      </c>
      <c r="D46" s="48" t="s">
        <v>23</v>
      </c>
      <c r="E46" s="50">
        <f>'2026进货数量'!C13</f>
        <v>144</v>
      </c>
      <c r="F46" s="50">
        <f>'2026净销售数量'!C13</f>
        <v>124</v>
      </c>
      <c r="G46" s="50">
        <v>0</v>
      </c>
      <c r="H46" s="50">
        <v>124</v>
      </c>
      <c r="I46" s="50">
        <v>0</v>
      </c>
      <c r="J46" s="50">
        <f>'2026供应商退货'!C13</f>
        <v>0</v>
      </c>
      <c r="K46" s="50">
        <f>'2027建议订货量'!C13</f>
        <v>144</v>
      </c>
      <c r="L46" s="50">
        <f t="shared" si="0"/>
        <v>0</v>
      </c>
      <c r="M46" s="51"/>
      <c r="N46" s="49" t="str">
        <f>建议原因!C13</f>
        <v>净销量124支持维持2026进货量；建议144</v>
      </c>
      <c r="O46" s="52" t="s">
        <v>68</v>
      </c>
    </row>
    <row r="47" ht="42" customHeight="1" spans="1:15">
      <c r="A47" s="47" t="s">
        <v>66</v>
      </c>
      <c r="B47" s="48" t="s">
        <v>28</v>
      </c>
      <c r="C47" s="49" t="s">
        <v>29</v>
      </c>
      <c r="D47" s="48" t="s">
        <v>30</v>
      </c>
      <c r="E47" s="50">
        <f>'2026进货数量'!D13</f>
        <v>288</v>
      </c>
      <c r="F47" s="50">
        <f>'2026净销售数量'!D13</f>
        <v>161</v>
      </c>
      <c r="G47" s="50">
        <v>0</v>
      </c>
      <c r="H47" s="50">
        <v>0</v>
      </c>
      <c r="I47" s="50">
        <v>161</v>
      </c>
      <c r="J47" s="50">
        <f>'2026供应商退货'!D13</f>
        <v>100</v>
      </c>
      <c r="K47" s="50">
        <f>'2027建议订货量'!D13</f>
        <v>144</v>
      </c>
      <c r="L47" s="50">
        <f t="shared" si="0"/>
        <v>-144</v>
      </c>
      <c r="M47" s="51">
        <v>288</v>
      </c>
      <c r="N47" s="49" t="str">
        <f>建议原因!D13</f>
        <v>按净销量161及包装规格，建议从2026进货288降至144；2026退供应商100张（视为季后库存）；该货号整体退货率≥20%，谨慎减量</v>
      </c>
      <c r="O47" s="52" t="s">
        <v>69</v>
      </c>
    </row>
    <row r="48" ht="42" customHeight="1" spans="1:15">
      <c r="A48" s="47" t="s">
        <v>66</v>
      </c>
      <c r="B48" s="48" t="s">
        <v>32</v>
      </c>
      <c r="C48" s="49" t="s">
        <v>33</v>
      </c>
      <c r="D48" s="48" t="s">
        <v>34</v>
      </c>
      <c r="E48" s="50">
        <f>'2026进货数量'!E13</f>
        <v>0</v>
      </c>
      <c r="F48" s="50">
        <f>'2026净销售数量'!E13</f>
        <v>0</v>
      </c>
      <c r="G48" s="50">
        <v>0</v>
      </c>
      <c r="H48" s="50">
        <v>0</v>
      </c>
      <c r="I48" s="50">
        <v>0</v>
      </c>
      <c r="J48" s="50">
        <f>'2026供应商退货'!E13</f>
        <v>0</v>
      </c>
      <c r="K48" s="50">
        <f>'2027建议订货量'!E13</f>
        <v>0</v>
      </c>
      <c r="L48" s="50">
        <f t="shared" si="0"/>
        <v>0</v>
      </c>
      <c r="M48" s="51"/>
      <c r="N48" s="49" t="str">
        <f>建议原因!E13</f>
        <v>无净销量，建议0；先查现存库存及扫码映射</v>
      </c>
      <c r="O48" s="52" t="s">
        <v>35</v>
      </c>
    </row>
    <row r="49" ht="42" customHeight="1" spans="1:15">
      <c r="A49" s="47" t="s">
        <v>66</v>
      </c>
      <c r="B49" s="53" t="s">
        <v>36</v>
      </c>
      <c r="C49" s="54" t="s">
        <v>37</v>
      </c>
      <c r="D49" s="53" t="s">
        <v>38</v>
      </c>
      <c r="E49" s="55">
        <f>'2026进货数量'!F13</f>
        <v>0</v>
      </c>
      <c r="F49" s="55">
        <f>'2026净销售数量'!F13</f>
        <v>0</v>
      </c>
      <c r="G49" s="55">
        <v>0</v>
      </c>
      <c r="H49" s="55">
        <v>0</v>
      </c>
      <c r="I49" s="55">
        <v>0</v>
      </c>
      <c r="J49" s="55">
        <f>'2026供应商退货'!F13</f>
        <v>0</v>
      </c>
      <c r="K49" s="55">
        <f>'2027建议订货量'!F13</f>
        <v>0</v>
      </c>
      <c r="L49" s="55">
        <f t="shared" si="0"/>
        <v>0</v>
      </c>
      <c r="M49" s="56"/>
      <c r="N49" s="54" t="str">
        <f>建议原因!F13</f>
        <v>无净销量，建议0；先查现存库存及扫码映射</v>
      </c>
      <c r="O49" s="57" t="s">
        <v>35</v>
      </c>
    </row>
    <row r="50" ht="42" customHeight="1" spans="1:15">
      <c r="A50" s="58" t="s">
        <v>70</v>
      </c>
      <c r="B50" s="59" t="s">
        <v>21</v>
      </c>
      <c r="C50" s="60" t="s">
        <v>22</v>
      </c>
      <c r="D50" s="59" t="s">
        <v>23</v>
      </c>
      <c r="E50" s="61">
        <f>'2026进货数量'!B14</f>
        <v>432</v>
      </c>
      <c r="F50" s="61">
        <f>'2026净销售数量'!B14</f>
        <v>83</v>
      </c>
      <c r="G50" s="61">
        <v>0</v>
      </c>
      <c r="H50" s="61">
        <v>83</v>
      </c>
      <c r="I50" s="61">
        <v>0</v>
      </c>
      <c r="J50" s="61">
        <f>'2026供应商退货'!B14</f>
        <v>306</v>
      </c>
      <c r="K50" s="61">
        <f>'2027建议订货量'!B14</f>
        <v>144</v>
      </c>
      <c r="L50" s="61">
        <f t="shared" si="0"/>
        <v>-288</v>
      </c>
      <c r="M50" s="62">
        <v>288</v>
      </c>
      <c r="N50" s="60" t="str">
        <f>建议原因!B14</f>
        <v>按净销量83及包装规格，建议从2026进货432降至144；2026退供应商306张（视为季后库存）；该货号整体退货率≥20%，谨慎减量</v>
      </c>
      <c r="O50" s="63" t="s">
        <v>71</v>
      </c>
    </row>
    <row r="51" ht="42" customHeight="1" spans="1:15">
      <c r="A51" s="58" t="s">
        <v>70</v>
      </c>
      <c r="B51" s="59" t="s">
        <v>25</v>
      </c>
      <c r="C51" s="60" t="s">
        <v>26</v>
      </c>
      <c r="D51" s="59" t="s">
        <v>23</v>
      </c>
      <c r="E51" s="61">
        <f>'2026进货数量'!C14</f>
        <v>288</v>
      </c>
      <c r="F51" s="61">
        <f>'2026净销售数量'!C14</f>
        <v>83</v>
      </c>
      <c r="G51" s="61">
        <v>0</v>
      </c>
      <c r="H51" s="61">
        <v>83</v>
      </c>
      <c r="I51" s="61">
        <v>0</v>
      </c>
      <c r="J51" s="61">
        <f>'2026供应商退货'!C14</f>
        <v>216</v>
      </c>
      <c r="K51" s="61">
        <f>'2027建议订货量'!C14</f>
        <v>144</v>
      </c>
      <c r="L51" s="61">
        <f t="shared" si="0"/>
        <v>-144</v>
      </c>
      <c r="M51" s="62"/>
      <c r="N51" s="60" t="str">
        <f>建议原因!C14</f>
        <v>按净销量83及包装规格，建议从2026进货288降至144；2026退供应商216张（视为季后库存）</v>
      </c>
      <c r="O51" s="63" t="s">
        <v>72</v>
      </c>
    </row>
    <row r="52" ht="42" customHeight="1" spans="1:15">
      <c r="A52" s="58" t="s">
        <v>70</v>
      </c>
      <c r="B52" s="59" t="s">
        <v>28</v>
      </c>
      <c r="C52" s="60" t="s">
        <v>29</v>
      </c>
      <c r="D52" s="59" t="s">
        <v>30</v>
      </c>
      <c r="E52" s="61">
        <f>'2026进货数量'!D14</f>
        <v>432</v>
      </c>
      <c r="F52" s="61">
        <f>'2026净销售数量'!D14</f>
        <v>94</v>
      </c>
      <c r="G52" s="61">
        <v>0</v>
      </c>
      <c r="H52" s="61">
        <v>0</v>
      </c>
      <c r="I52" s="61">
        <v>94</v>
      </c>
      <c r="J52" s="61">
        <f>'2026供应商退货'!D14</f>
        <v>319</v>
      </c>
      <c r="K52" s="61">
        <f>'2027建议订货量'!D14</f>
        <v>144</v>
      </c>
      <c r="L52" s="61">
        <f t="shared" si="0"/>
        <v>-288</v>
      </c>
      <c r="M52" s="62">
        <v>144</v>
      </c>
      <c r="N52" s="60" t="str">
        <f>建议原因!D14</f>
        <v>按净销量94及包装规格，建议从2026进货432降至144；2026退供应商319张（视为季后库存）；该货号整体退货率≥20%，谨慎减量</v>
      </c>
      <c r="O52" s="63" t="s">
        <v>73</v>
      </c>
    </row>
    <row r="53" ht="42" customHeight="1" spans="1:15">
      <c r="A53" s="58" t="s">
        <v>70</v>
      </c>
      <c r="B53" s="59" t="s">
        <v>32</v>
      </c>
      <c r="C53" s="60" t="s">
        <v>33</v>
      </c>
      <c r="D53" s="59" t="s">
        <v>34</v>
      </c>
      <c r="E53" s="61">
        <f>'2026进货数量'!E14</f>
        <v>0</v>
      </c>
      <c r="F53" s="61">
        <f>'2026净销售数量'!E14</f>
        <v>0</v>
      </c>
      <c r="G53" s="61">
        <v>0</v>
      </c>
      <c r="H53" s="61">
        <v>0</v>
      </c>
      <c r="I53" s="61">
        <v>0</v>
      </c>
      <c r="J53" s="61">
        <f>'2026供应商退货'!E14</f>
        <v>0</v>
      </c>
      <c r="K53" s="61">
        <f>'2027建议订货量'!E14</f>
        <v>0</v>
      </c>
      <c r="L53" s="61">
        <f t="shared" si="0"/>
        <v>0</v>
      </c>
      <c r="M53" s="62"/>
      <c r="N53" s="60" t="str">
        <f>建议原因!E14</f>
        <v>无净销量，建议0；先查现存库存及扫码映射</v>
      </c>
      <c r="O53" s="63" t="s">
        <v>35</v>
      </c>
    </row>
    <row r="54" ht="42" customHeight="1" spans="1:15">
      <c r="A54" s="58" t="s">
        <v>70</v>
      </c>
      <c r="B54" s="64" t="s">
        <v>36</v>
      </c>
      <c r="C54" s="65" t="s">
        <v>37</v>
      </c>
      <c r="D54" s="64" t="s">
        <v>38</v>
      </c>
      <c r="E54" s="66">
        <f>'2026进货数量'!F14</f>
        <v>0</v>
      </c>
      <c r="F54" s="66">
        <f>'2026净销售数量'!F14</f>
        <v>0</v>
      </c>
      <c r="G54" s="66">
        <v>0</v>
      </c>
      <c r="H54" s="66">
        <v>0</v>
      </c>
      <c r="I54" s="66">
        <v>0</v>
      </c>
      <c r="J54" s="66">
        <f>'2026供应商退货'!F14</f>
        <v>0</v>
      </c>
      <c r="K54" s="66">
        <f>'2027建议订货量'!F14</f>
        <v>0</v>
      </c>
      <c r="L54" s="66">
        <f t="shared" si="0"/>
        <v>0</v>
      </c>
      <c r="M54" s="67"/>
      <c r="N54" s="65" t="str">
        <f>建议原因!F14</f>
        <v>无净销量，建议0；先查现存库存及扫码映射</v>
      </c>
      <c r="O54" s="68" t="s">
        <v>35</v>
      </c>
    </row>
    <row r="55" ht="42" customHeight="1" spans="1:15">
      <c r="A55" s="47" t="s">
        <v>74</v>
      </c>
      <c r="B55" s="48" t="s">
        <v>21</v>
      </c>
      <c r="C55" s="49" t="s">
        <v>22</v>
      </c>
      <c r="D55" s="48" t="s">
        <v>23</v>
      </c>
      <c r="E55" s="50">
        <f>'2026进货数量'!B15</f>
        <v>144</v>
      </c>
      <c r="F55" s="50">
        <f>'2026净销售数量'!B15</f>
        <v>60</v>
      </c>
      <c r="G55" s="50">
        <v>0</v>
      </c>
      <c r="H55" s="50">
        <v>60</v>
      </c>
      <c r="I55" s="50">
        <v>0</v>
      </c>
      <c r="J55" s="50">
        <f>'2026供应商退货'!B15</f>
        <v>0</v>
      </c>
      <c r="K55" s="50">
        <f>'2027建议订货量'!B15</f>
        <v>0</v>
      </c>
      <c r="L55" s="50">
        <f t="shared" si="0"/>
        <v>-144</v>
      </c>
      <c r="M55" s="51">
        <v>432</v>
      </c>
      <c r="N55" s="49" t="str">
        <f>建议原因!B15</f>
        <v>净销量60，不足半套72；建议0，由中央库存补货；该货号整体退货率≥20%，谨慎减量</v>
      </c>
      <c r="O55" s="52" t="s">
        <v>75</v>
      </c>
    </row>
    <row r="56" ht="42" customHeight="1" spans="1:15">
      <c r="A56" s="47" t="s">
        <v>74</v>
      </c>
      <c r="B56" s="48" t="s">
        <v>25</v>
      </c>
      <c r="C56" s="49" t="s">
        <v>26</v>
      </c>
      <c r="D56" s="48" t="s">
        <v>23</v>
      </c>
      <c r="E56" s="50">
        <f>'2026进货数量'!C15</f>
        <v>288</v>
      </c>
      <c r="F56" s="50">
        <f>'2026净销售数量'!C15</f>
        <v>210</v>
      </c>
      <c r="G56" s="50">
        <v>0</v>
      </c>
      <c r="H56" s="50">
        <v>210</v>
      </c>
      <c r="I56" s="50">
        <v>0</v>
      </c>
      <c r="J56" s="50">
        <f>'2026供应商退货'!C15</f>
        <v>0</v>
      </c>
      <c r="K56" s="50">
        <f>'2027建议订货量'!C15</f>
        <v>144</v>
      </c>
      <c r="L56" s="50">
        <f t="shared" si="0"/>
        <v>-144</v>
      </c>
      <c r="M56" s="51"/>
      <c r="N56" s="49" t="str">
        <f>建议原因!C15</f>
        <v>按净销量210及包装规格，建议从2026进货288降至144</v>
      </c>
      <c r="O56" s="52" t="s">
        <v>76</v>
      </c>
    </row>
    <row r="57" ht="42" customHeight="1" spans="1:15">
      <c r="A57" s="47" t="s">
        <v>74</v>
      </c>
      <c r="B57" s="48" t="s">
        <v>28</v>
      </c>
      <c r="C57" s="49" t="s">
        <v>29</v>
      </c>
      <c r="D57" s="48" t="s">
        <v>30</v>
      </c>
      <c r="E57" s="50">
        <f>'2026进货数量'!D15</f>
        <v>288</v>
      </c>
      <c r="F57" s="50">
        <f>'2026净销售数量'!D15</f>
        <v>169</v>
      </c>
      <c r="G57" s="50">
        <v>0</v>
      </c>
      <c r="H57" s="50">
        <v>0</v>
      </c>
      <c r="I57" s="50">
        <v>169</v>
      </c>
      <c r="J57" s="50">
        <f>'2026供应商退货'!D15</f>
        <v>0</v>
      </c>
      <c r="K57" s="50">
        <f>'2027建议订货量'!D15</f>
        <v>144</v>
      </c>
      <c r="L57" s="50">
        <f t="shared" si="0"/>
        <v>-144</v>
      </c>
      <c r="M57" s="51">
        <v>288</v>
      </c>
      <c r="N57" s="49" t="str">
        <f>建议原因!D15</f>
        <v>按净销量169及包装规格，建议从2026进货288降至144；该货号整体退货率≥20%，谨慎减量</v>
      </c>
      <c r="O57" s="52" t="s">
        <v>77</v>
      </c>
    </row>
    <row r="58" ht="42" customHeight="1" spans="1:15">
      <c r="A58" s="47" t="s">
        <v>74</v>
      </c>
      <c r="B58" s="48" t="s">
        <v>32</v>
      </c>
      <c r="C58" s="49" t="s">
        <v>33</v>
      </c>
      <c r="D58" s="48" t="s">
        <v>34</v>
      </c>
      <c r="E58" s="50">
        <f>'2026进货数量'!E15</f>
        <v>0</v>
      </c>
      <c r="F58" s="50">
        <f>'2026净销售数量'!E15</f>
        <v>0</v>
      </c>
      <c r="G58" s="50">
        <v>0</v>
      </c>
      <c r="H58" s="50">
        <v>0</v>
      </c>
      <c r="I58" s="50">
        <v>0</v>
      </c>
      <c r="J58" s="50">
        <f>'2026供应商退货'!E15</f>
        <v>0</v>
      </c>
      <c r="K58" s="50">
        <f>'2027建议订货量'!E15</f>
        <v>0</v>
      </c>
      <c r="L58" s="50">
        <f t="shared" si="0"/>
        <v>0</v>
      </c>
      <c r="M58" s="51"/>
      <c r="N58" s="49" t="str">
        <f>建议原因!E15</f>
        <v>无净销量，建议0；先查现存库存及扫码映射</v>
      </c>
      <c r="O58" s="52" t="s">
        <v>35</v>
      </c>
    </row>
    <row r="59" ht="42" customHeight="1" spans="1:15">
      <c r="A59" s="47" t="s">
        <v>74</v>
      </c>
      <c r="B59" s="53" t="s">
        <v>36</v>
      </c>
      <c r="C59" s="54" t="s">
        <v>37</v>
      </c>
      <c r="D59" s="53" t="s">
        <v>38</v>
      </c>
      <c r="E59" s="55">
        <f>'2026进货数量'!F15</f>
        <v>0</v>
      </c>
      <c r="F59" s="55">
        <f>'2026净销售数量'!F15</f>
        <v>0</v>
      </c>
      <c r="G59" s="55">
        <v>0</v>
      </c>
      <c r="H59" s="55">
        <v>0</v>
      </c>
      <c r="I59" s="55">
        <v>0</v>
      </c>
      <c r="J59" s="55">
        <f>'2026供应商退货'!F15</f>
        <v>0</v>
      </c>
      <c r="K59" s="55">
        <f>'2027建议订货量'!F15</f>
        <v>0</v>
      </c>
      <c r="L59" s="55">
        <f t="shared" si="0"/>
        <v>0</v>
      </c>
      <c r="M59" s="56"/>
      <c r="N59" s="54" t="str">
        <f>建议原因!F15</f>
        <v>无净销量，建议0；先查现存库存及扫码映射</v>
      </c>
      <c r="O59" s="57" t="s">
        <v>35</v>
      </c>
    </row>
    <row r="60" ht="42" customHeight="1" spans="1:15">
      <c r="A60" s="58" t="s">
        <v>78</v>
      </c>
      <c r="B60" s="59" t="s">
        <v>21</v>
      </c>
      <c r="C60" s="60" t="s">
        <v>22</v>
      </c>
      <c r="D60" s="59" t="s">
        <v>23</v>
      </c>
      <c r="E60" s="61">
        <f>'2026进货数量'!B16</f>
        <v>432</v>
      </c>
      <c r="F60" s="61">
        <f>'2026净销售数量'!B16</f>
        <v>154</v>
      </c>
      <c r="G60" s="61">
        <v>0</v>
      </c>
      <c r="H60" s="61">
        <v>154</v>
      </c>
      <c r="I60" s="61">
        <v>0</v>
      </c>
      <c r="J60" s="61">
        <f>'2026供应商退货'!B16</f>
        <v>352</v>
      </c>
      <c r="K60" s="61">
        <f>'2027建议订货量'!B16</f>
        <v>144</v>
      </c>
      <c r="L60" s="61">
        <f t="shared" si="0"/>
        <v>-288</v>
      </c>
      <c r="M60" s="62">
        <v>288</v>
      </c>
      <c r="N60" s="60" t="str">
        <f>建议原因!B16</f>
        <v>按净销量154及包装规格，建议从2026进货432降至144；2026退供应商352张（视为季后库存）；该货号整体退货率≥20%，谨慎减量</v>
      </c>
      <c r="O60" s="63" t="s">
        <v>79</v>
      </c>
    </row>
    <row r="61" ht="42" customHeight="1" spans="1:15">
      <c r="A61" s="58" t="s">
        <v>78</v>
      </c>
      <c r="B61" s="59" t="s">
        <v>25</v>
      </c>
      <c r="C61" s="60" t="s">
        <v>26</v>
      </c>
      <c r="D61" s="59" t="s">
        <v>23</v>
      </c>
      <c r="E61" s="61">
        <f>'2026进货数量'!C16</f>
        <v>144</v>
      </c>
      <c r="F61" s="61">
        <f>'2026净销售数量'!C16</f>
        <v>80</v>
      </c>
      <c r="G61" s="61">
        <v>0</v>
      </c>
      <c r="H61" s="61">
        <v>80</v>
      </c>
      <c r="I61" s="61">
        <v>0</v>
      </c>
      <c r="J61" s="61">
        <f>'2026供应商退货'!C16</f>
        <v>128</v>
      </c>
      <c r="K61" s="61">
        <f>'2027建议订货量'!C16</f>
        <v>144</v>
      </c>
      <c r="L61" s="61">
        <f t="shared" si="0"/>
        <v>0</v>
      </c>
      <c r="M61" s="62"/>
      <c r="N61" s="60" t="str">
        <f>建议原因!C16</f>
        <v>净销量80支持维持2026进货量；建议144；2026退供应商128张（视为季后库存）</v>
      </c>
      <c r="O61" s="63" t="s">
        <v>80</v>
      </c>
    </row>
    <row r="62" ht="42" customHeight="1" spans="1:15">
      <c r="A62" s="58" t="s">
        <v>78</v>
      </c>
      <c r="B62" s="59" t="s">
        <v>28</v>
      </c>
      <c r="C62" s="60" t="s">
        <v>29</v>
      </c>
      <c r="D62" s="59" t="s">
        <v>30</v>
      </c>
      <c r="E62" s="61">
        <f>'2026进货数量'!D16</f>
        <v>288</v>
      </c>
      <c r="F62" s="61">
        <f>'2026净销售数量'!D16</f>
        <v>120</v>
      </c>
      <c r="G62" s="61">
        <v>0</v>
      </c>
      <c r="H62" s="61">
        <v>0</v>
      </c>
      <c r="I62" s="61">
        <v>120</v>
      </c>
      <c r="J62" s="61">
        <f>'2026供应商退货'!D16</f>
        <v>205</v>
      </c>
      <c r="K62" s="61">
        <f>'2027建议订货量'!D16</f>
        <v>144</v>
      </c>
      <c r="L62" s="61">
        <f t="shared" si="0"/>
        <v>-144</v>
      </c>
      <c r="M62" s="62">
        <v>144</v>
      </c>
      <c r="N62" s="60" t="str">
        <f>建议原因!D16</f>
        <v>按净销量120及包装规格，建议从2026进货288降至144；2026退供应商205张（视为季后库存）；该货号整体退货率≥20%，谨慎减量</v>
      </c>
      <c r="O62" s="63" t="s">
        <v>81</v>
      </c>
    </row>
    <row r="63" ht="42" customHeight="1" spans="1:15">
      <c r="A63" s="58" t="s">
        <v>78</v>
      </c>
      <c r="B63" s="59" t="s">
        <v>32</v>
      </c>
      <c r="C63" s="60" t="s">
        <v>33</v>
      </c>
      <c r="D63" s="59" t="s">
        <v>34</v>
      </c>
      <c r="E63" s="61">
        <f>'2026进货数量'!E16</f>
        <v>0</v>
      </c>
      <c r="F63" s="61">
        <f>'2026净销售数量'!E16</f>
        <v>99</v>
      </c>
      <c r="G63" s="61">
        <v>99</v>
      </c>
      <c r="H63" s="61">
        <v>0</v>
      </c>
      <c r="I63" s="61">
        <v>0</v>
      </c>
      <c r="J63" s="61">
        <f>'2026供应商退货'!E16</f>
        <v>0</v>
      </c>
      <c r="K63" s="61">
        <f>'2027建议订货量'!E16</f>
        <v>0</v>
      </c>
      <c r="L63" s="61">
        <f t="shared" si="0"/>
        <v>0</v>
      </c>
      <c r="M63" s="62">
        <v>300</v>
      </c>
      <c r="N63" s="60" t="str">
        <f>建议原因!E16</f>
        <v>净销量99，不足半套150；建议0，由中央库存补货</v>
      </c>
      <c r="O63" s="63" t="s">
        <v>82</v>
      </c>
    </row>
    <row r="64" ht="42" customHeight="1" spans="1:15">
      <c r="A64" s="58" t="s">
        <v>78</v>
      </c>
      <c r="B64" s="64" t="s">
        <v>36</v>
      </c>
      <c r="C64" s="65" t="s">
        <v>37</v>
      </c>
      <c r="D64" s="64" t="s">
        <v>38</v>
      </c>
      <c r="E64" s="66">
        <f>'2026进货数量'!F16</f>
        <v>300</v>
      </c>
      <c r="F64" s="66">
        <f>'2026净销售数量'!F16</f>
        <v>155</v>
      </c>
      <c r="G64" s="66">
        <v>151</v>
      </c>
      <c r="H64" s="66">
        <v>4</v>
      </c>
      <c r="I64" s="66">
        <v>0</v>
      </c>
      <c r="J64" s="66">
        <f>'2026供应商退货'!F16</f>
        <v>0</v>
      </c>
      <c r="K64" s="66">
        <f>'2027建议订货量'!F16</f>
        <v>300</v>
      </c>
      <c r="L64" s="66">
        <f t="shared" si="0"/>
        <v>0</v>
      </c>
      <c r="M64" s="67"/>
      <c r="N64" s="65" t="str">
        <f>建议原因!F16</f>
        <v>净销量155支持维持2026进货量；建议300</v>
      </c>
      <c r="O64" s="68" t="s">
        <v>83</v>
      </c>
    </row>
    <row r="65" ht="42" customHeight="1" spans="1:15">
      <c r="A65" s="47" t="s">
        <v>84</v>
      </c>
      <c r="B65" s="48" t="s">
        <v>21</v>
      </c>
      <c r="C65" s="49" t="s">
        <v>22</v>
      </c>
      <c r="D65" s="48" t="s">
        <v>23</v>
      </c>
      <c r="E65" s="50">
        <f>'2026进货数量'!B17</f>
        <v>288</v>
      </c>
      <c r="F65" s="50">
        <f>'2026净销售数量'!B17</f>
        <v>151</v>
      </c>
      <c r="G65" s="50">
        <v>0</v>
      </c>
      <c r="H65" s="50">
        <v>151</v>
      </c>
      <c r="I65" s="50">
        <v>0</v>
      </c>
      <c r="J65" s="50">
        <f>'2026供应商退货'!B17</f>
        <v>0</v>
      </c>
      <c r="K65" s="50">
        <f>'2027建议订货量'!B17</f>
        <v>144</v>
      </c>
      <c r="L65" s="50">
        <f t="shared" si="0"/>
        <v>-144</v>
      </c>
      <c r="M65" s="51">
        <v>288</v>
      </c>
      <c r="N65" s="49" t="str">
        <f>建议原因!B17</f>
        <v>按净销量151及包装规格，建议从2026进货288降至144；该货号整体退货率≥20%，谨慎减量</v>
      </c>
      <c r="O65" s="52" t="s">
        <v>85</v>
      </c>
    </row>
    <row r="66" ht="42" customHeight="1" spans="1:15">
      <c r="A66" s="47" t="s">
        <v>84</v>
      </c>
      <c r="B66" s="48" t="s">
        <v>25</v>
      </c>
      <c r="C66" s="49" t="s">
        <v>26</v>
      </c>
      <c r="D66" s="48" t="s">
        <v>23</v>
      </c>
      <c r="E66" s="50">
        <f>'2026进货数量'!C17</f>
        <v>0</v>
      </c>
      <c r="F66" s="50">
        <f>'2026净销售数量'!C17</f>
        <v>3</v>
      </c>
      <c r="G66" s="50">
        <v>0</v>
      </c>
      <c r="H66" s="50">
        <v>3</v>
      </c>
      <c r="I66" s="50">
        <v>0</v>
      </c>
      <c r="J66" s="50">
        <f>'2026供应商退货'!C17</f>
        <v>0</v>
      </c>
      <c r="K66" s="50">
        <f>'2027建议订货量'!C17</f>
        <v>0</v>
      </c>
      <c r="L66" s="50">
        <f t="shared" si="0"/>
        <v>0</v>
      </c>
      <c r="M66" s="51"/>
      <c r="N66" s="49" t="str">
        <f>建议原因!C17</f>
        <v>净销量3，不足半套72；建议0，由中央库存补货</v>
      </c>
      <c r="O66" s="52" t="s">
        <v>86</v>
      </c>
    </row>
    <row r="67" ht="42" customHeight="1" spans="1:15">
      <c r="A67" s="47" t="s">
        <v>84</v>
      </c>
      <c r="B67" s="48" t="s">
        <v>28</v>
      </c>
      <c r="C67" s="49" t="s">
        <v>29</v>
      </c>
      <c r="D67" s="48" t="s">
        <v>30</v>
      </c>
      <c r="E67" s="50">
        <f>'2026进货数量'!D17</f>
        <v>288</v>
      </c>
      <c r="F67" s="50">
        <f>'2026净销售数量'!D17</f>
        <v>91</v>
      </c>
      <c r="G67" s="50">
        <v>0</v>
      </c>
      <c r="H67" s="50">
        <v>0</v>
      </c>
      <c r="I67" s="50">
        <v>91</v>
      </c>
      <c r="J67" s="50">
        <f>'2026供应商退货'!D17</f>
        <v>174</v>
      </c>
      <c r="K67" s="50">
        <f>'2027建议订货量'!D17</f>
        <v>144</v>
      </c>
      <c r="L67" s="50">
        <f t="shared" si="0"/>
        <v>-144</v>
      </c>
      <c r="M67" s="51">
        <v>144</v>
      </c>
      <c r="N67" s="49" t="str">
        <f>建议原因!D17</f>
        <v>按净销量91及包装规格，建议从2026进货288降至144；2026退供应商174张（视为季后库存）；该货号整体退货率≥20%，谨慎减量</v>
      </c>
      <c r="O67" s="52" t="s">
        <v>87</v>
      </c>
    </row>
    <row r="68" ht="42" customHeight="1" spans="1:15">
      <c r="A68" s="47" t="s">
        <v>84</v>
      </c>
      <c r="B68" s="48" t="s">
        <v>32</v>
      </c>
      <c r="C68" s="49" t="s">
        <v>33</v>
      </c>
      <c r="D68" s="48" t="s">
        <v>34</v>
      </c>
      <c r="E68" s="50">
        <f>'2026进货数量'!E17</f>
        <v>0</v>
      </c>
      <c r="F68" s="50">
        <f>'2026净销售数量'!E17</f>
        <v>0</v>
      </c>
      <c r="G68" s="50">
        <v>0</v>
      </c>
      <c r="H68" s="50">
        <v>0</v>
      </c>
      <c r="I68" s="50">
        <v>0</v>
      </c>
      <c r="J68" s="50">
        <f>'2026供应商退货'!E17</f>
        <v>0</v>
      </c>
      <c r="K68" s="50">
        <f>'2027建议订货量'!E17</f>
        <v>0</v>
      </c>
      <c r="L68" s="50">
        <f t="shared" si="0"/>
        <v>0</v>
      </c>
      <c r="M68" s="51"/>
      <c r="N68" s="49" t="str">
        <f>建议原因!E17</f>
        <v>无净销量，建议0；先查现存库存及扫码映射</v>
      </c>
      <c r="O68" s="52" t="s">
        <v>35</v>
      </c>
    </row>
    <row r="69" ht="42" customHeight="1" spans="1:15">
      <c r="A69" s="47" t="s">
        <v>84</v>
      </c>
      <c r="B69" s="53" t="s">
        <v>36</v>
      </c>
      <c r="C69" s="54" t="s">
        <v>37</v>
      </c>
      <c r="D69" s="53" t="s">
        <v>38</v>
      </c>
      <c r="E69" s="55">
        <f>'2026进货数量'!F17</f>
        <v>0</v>
      </c>
      <c r="F69" s="55">
        <f>'2026净销售数量'!F17</f>
        <v>0</v>
      </c>
      <c r="G69" s="55">
        <v>0</v>
      </c>
      <c r="H69" s="55">
        <v>0</v>
      </c>
      <c r="I69" s="55">
        <v>0</v>
      </c>
      <c r="J69" s="55">
        <f>'2026供应商退货'!F17</f>
        <v>0</v>
      </c>
      <c r="K69" s="55">
        <f>'2027建议订货量'!F17</f>
        <v>0</v>
      </c>
      <c r="L69" s="55">
        <f t="shared" ref="L69:L124" si="1">K69-E69</f>
        <v>0</v>
      </c>
      <c r="M69" s="56"/>
      <c r="N69" s="54" t="str">
        <f>建议原因!F17</f>
        <v>无净销量，建议0；先查现存库存及扫码映射</v>
      </c>
      <c r="O69" s="57" t="s">
        <v>35</v>
      </c>
    </row>
    <row r="70" ht="42" customHeight="1" spans="1:15">
      <c r="A70" s="58" t="s">
        <v>88</v>
      </c>
      <c r="B70" s="59" t="s">
        <v>21</v>
      </c>
      <c r="C70" s="60" t="s">
        <v>22</v>
      </c>
      <c r="D70" s="59" t="s">
        <v>23</v>
      </c>
      <c r="E70" s="61">
        <f>'2026进货数量'!B18</f>
        <v>288</v>
      </c>
      <c r="F70" s="61">
        <f>'2026净销售数量'!B18</f>
        <v>218</v>
      </c>
      <c r="G70" s="61">
        <v>0</v>
      </c>
      <c r="H70" s="61">
        <v>218</v>
      </c>
      <c r="I70" s="61">
        <v>0</v>
      </c>
      <c r="J70" s="61">
        <f>'2026供应商退货'!B18</f>
        <v>0</v>
      </c>
      <c r="K70" s="61">
        <f>'2027建议订货量'!B18</f>
        <v>288</v>
      </c>
      <c r="L70" s="61">
        <f t="shared" si="1"/>
        <v>0</v>
      </c>
      <c r="M70" s="62">
        <v>288</v>
      </c>
      <c r="N70" s="60" t="str">
        <f>建议原因!B18</f>
        <v>净销量218支持维持2026进货量；建议288；该货号整体退货率≥20%，谨慎减量</v>
      </c>
      <c r="O70" s="63" t="s">
        <v>89</v>
      </c>
    </row>
    <row r="71" ht="42" customHeight="1" spans="1:15">
      <c r="A71" s="58" t="s">
        <v>88</v>
      </c>
      <c r="B71" s="59" t="s">
        <v>25</v>
      </c>
      <c r="C71" s="60" t="s">
        <v>26</v>
      </c>
      <c r="D71" s="59" t="s">
        <v>23</v>
      </c>
      <c r="E71" s="61">
        <f>'2026进货数量'!C18</f>
        <v>0</v>
      </c>
      <c r="F71" s="61">
        <f>'2026净销售数量'!C18</f>
        <v>0</v>
      </c>
      <c r="G71" s="61">
        <v>0</v>
      </c>
      <c r="H71" s="61">
        <v>0</v>
      </c>
      <c r="I71" s="61">
        <v>0</v>
      </c>
      <c r="J71" s="61">
        <f>'2026供应商退货'!C18</f>
        <v>0</v>
      </c>
      <c r="K71" s="61">
        <f>'2027建议订货量'!C18</f>
        <v>0</v>
      </c>
      <c r="L71" s="61">
        <f t="shared" si="1"/>
        <v>0</v>
      </c>
      <c r="M71" s="62"/>
      <c r="N71" s="60" t="str">
        <f>建议原因!C18</f>
        <v>无净销量，建议0；先查现存库存及扫码映射</v>
      </c>
      <c r="O71" s="63" t="s">
        <v>35</v>
      </c>
    </row>
    <row r="72" ht="42" customHeight="1" spans="1:15">
      <c r="A72" s="58" t="s">
        <v>88</v>
      </c>
      <c r="B72" s="59" t="s">
        <v>28</v>
      </c>
      <c r="C72" s="60" t="s">
        <v>29</v>
      </c>
      <c r="D72" s="59" t="s">
        <v>30</v>
      </c>
      <c r="E72" s="61">
        <f>'2026进货数量'!D18</f>
        <v>288</v>
      </c>
      <c r="F72" s="61">
        <f>'2026净销售数量'!D18</f>
        <v>165</v>
      </c>
      <c r="G72" s="61">
        <v>0</v>
      </c>
      <c r="H72" s="61">
        <v>0</v>
      </c>
      <c r="I72" s="61">
        <v>165</v>
      </c>
      <c r="J72" s="61">
        <f>'2026供应商退货'!D18</f>
        <v>0</v>
      </c>
      <c r="K72" s="61">
        <f>'2027建议订货量'!D18</f>
        <v>144</v>
      </c>
      <c r="L72" s="61">
        <f t="shared" si="1"/>
        <v>-144</v>
      </c>
      <c r="M72" s="62">
        <v>288</v>
      </c>
      <c r="N72" s="60" t="str">
        <f>建议原因!D18</f>
        <v>按净销量165及包装规格，建议从2026进货288降至144；该货号整体退货率≥20%，谨慎减量</v>
      </c>
      <c r="O72" s="63" t="s">
        <v>90</v>
      </c>
    </row>
    <row r="73" ht="42" customHeight="1" spans="1:15">
      <c r="A73" s="58" t="s">
        <v>88</v>
      </c>
      <c r="B73" s="59" t="s">
        <v>32</v>
      </c>
      <c r="C73" s="60" t="s">
        <v>33</v>
      </c>
      <c r="D73" s="59" t="s">
        <v>34</v>
      </c>
      <c r="E73" s="61">
        <f>'2026进货数量'!E18</f>
        <v>300</v>
      </c>
      <c r="F73" s="61">
        <f>'2026净销售数量'!E18</f>
        <v>275</v>
      </c>
      <c r="G73" s="61">
        <v>275</v>
      </c>
      <c r="H73" s="61">
        <v>0</v>
      </c>
      <c r="I73" s="61">
        <v>0</v>
      </c>
      <c r="J73" s="61">
        <f>'2026供应商退货'!E18</f>
        <v>0</v>
      </c>
      <c r="K73" s="61">
        <f>'2027建议订货量'!E18</f>
        <v>300</v>
      </c>
      <c r="L73" s="61">
        <f t="shared" si="1"/>
        <v>0</v>
      </c>
      <c r="M73" s="62">
        <v>600</v>
      </c>
      <c r="N73" s="60" t="str">
        <f>建议原因!E18</f>
        <v>净销量275支持维持2026进货量；建议300</v>
      </c>
      <c r="O73" s="63" t="s">
        <v>91</v>
      </c>
    </row>
    <row r="74" ht="42" customHeight="1" spans="1:15">
      <c r="A74" s="58" t="s">
        <v>88</v>
      </c>
      <c r="B74" s="64" t="s">
        <v>36</v>
      </c>
      <c r="C74" s="65" t="s">
        <v>37</v>
      </c>
      <c r="D74" s="64" t="s">
        <v>38</v>
      </c>
      <c r="E74" s="66">
        <f>'2026进货数量'!F18</f>
        <v>300</v>
      </c>
      <c r="F74" s="66">
        <f>'2026净销售数量'!F18</f>
        <v>118</v>
      </c>
      <c r="G74" s="66">
        <v>118</v>
      </c>
      <c r="H74" s="66">
        <v>0</v>
      </c>
      <c r="I74" s="66">
        <v>0</v>
      </c>
      <c r="J74" s="66">
        <f>'2026供应商退货'!F18</f>
        <v>0</v>
      </c>
      <c r="K74" s="66">
        <f>'2027建议订货量'!F18</f>
        <v>0</v>
      </c>
      <c r="L74" s="66">
        <f t="shared" si="1"/>
        <v>-300</v>
      </c>
      <c r="M74" s="67"/>
      <c r="N74" s="65" t="str">
        <f>建议原因!F18</f>
        <v>净销量118，不足半套150；建议0，由中央库存补货</v>
      </c>
      <c r="O74" s="68" t="s">
        <v>92</v>
      </c>
    </row>
    <row r="75" ht="42" customHeight="1" spans="1:15">
      <c r="A75" s="47" t="s">
        <v>93</v>
      </c>
      <c r="B75" s="48" t="s">
        <v>21</v>
      </c>
      <c r="C75" s="49" t="s">
        <v>22</v>
      </c>
      <c r="D75" s="48" t="s">
        <v>23</v>
      </c>
      <c r="E75" s="50">
        <f>'2026进货数量'!B19</f>
        <v>144</v>
      </c>
      <c r="F75" s="50">
        <f>'2026净销售数量'!B19</f>
        <v>105</v>
      </c>
      <c r="G75" s="50">
        <v>0</v>
      </c>
      <c r="H75" s="50">
        <v>105</v>
      </c>
      <c r="I75" s="50">
        <v>0</v>
      </c>
      <c r="J75" s="50">
        <f>'2026供应商退货'!B19</f>
        <v>21</v>
      </c>
      <c r="K75" s="50">
        <f>'2027建议订货量'!B19</f>
        <v>144</v>
      </c>
      <c r="L75" s="50">
        <f t="shared" si="1"/>
        <v>0</v>
      </c>
      <c r="M75" s="51">
        <v>288</v>
      </c>
      <c r="N75" s="49" t="str">
        <f>建议原因!B19</f>
        <v>净销量105支持维持2026进货量；建议144；2026退供应商21张（视为季后库存）；该货号整体退货率≥20%，谨慎减量</v>
      </c>
      <c r="O75" s="52" t="s">
        <v>94</v>
      </c>
    </row>
    <row r="76" ht="42" customHeight="1" spans="1:15">
      <c r="A76" s="47" t="s">
        <v>93</v>
      </c>
      <c r="B76" s="48" t="s">
        <v>25</v>
      </c>
      <c r="C76" s="49" t="s">
        <v>26</v>
      </c>
      <c r="D76" s="48" t="s">
        <v>23</v>
      </c>
      <c r="E76" s="50">
        <f>'2026进货数量'!C19</f>
        <v>144</v>
      </c>
      <c r="F76" s="50">
        <f>'2026净销售数量'!C19</f>
        <v>138</v>
      </c>
      <c r="G76" s="50">
        <v>0</v>
      </c>
      <c r="H76" s="50">
        <v>138</v>
      </c>
      <c r="I76" s="50">
        <v>0</v>
      </c>
      <c r="J76" s="50">
        <f>'2026供应商退货'!C19</f>
        <v>0</v>
      </c>
      <c r="K76" s="50">
        <f>'2027建议订货量'!C19</f>
        <v>144</v>
      </c>
      <c r="L76" s="50">
        <f t="shared" si="1"/>
        <v>0</v>
      </c>
      <c r="M76" s="51"/>
      <c r="N76" s="49" t="str">
        <f>建议原因!C19</f>
        <v>净销量138支持维持2026进货量；建议144</v>
      </c>
      <c r="O76" s="52" t="s">
        <v>95</v>
      </c>
    </row>
    <row r="77" ht="42" customHeight="1" spans="1:15">
      <c r="A77" s="47" t="s">
        <v>93</v>
      </c>
      <c r="B77" s="48" t="s">
        <v>28</v>
      </c>
      <c r="C77" s="49" t="s">
        <v>29</v>
      </c>
      <c r="D77" s="48" t="s">
        <v>30</v>
      </c>
      <c r="E77" s="50">
        <f>'2026进货数量'!D19</f>
        <v>0</v>
      </c>
      <c r="F77" s="50">
        <f>'2026净销售数量'!D19</f>
        <v>0</v>
      </c>
      <c r="G77" s="50">
        <v>0</v>
      </c>
      <c r="H77" s="50">
        <v>0</v>
      </c>
      <c r="I77" s="50">
        <v>0</v>
      </c>
      <c r="J77" s="50">
        <f>'2026供应商退货'!D19</f>
        <v>0</v>
      </c>
      <c r="K77" s="50">
        <f>'2027建议订货量'!D19</f>
        <v>0</v>
      </c>
      <c r="L77" s="50">
        <f t="shared" si="1"/>
        <v>0</v>
      </c>
      <c r="M77" s="51">
        <v>144</v>
      </c>
      <c r="N77" s="49" t="str">
        <f>建议原因!D19</f>
        <v>无净销量，建议0；先查现存库存及扫码映射；该货号整体退货率≥20%，谨慎减量</v>
      </c>
      <c r="O77" s="52" t="s">
        <v>35</v>
      </c>
    </row>
    <row r="78" ht="42" customHeight="1" spans="1:15">
      <c r="A78" s="47" t="s">
        <v>93</v>
      </c>
      <c r="B78" s="48" t="s">
        <v>32</v>
      </c>
      <c r="C78" s="49" t="s">
        <v>33</v>
      </c>
      <c r="D78" s="48" t="s">
        <v>34</v>
      </c>
      <c r="E78" s="50">
        <f>'2026进货数量'!E19</f>
        <v>0</v>
      </c>
      <c r="F78" s="50">
        <f>'2026净销售数量'!E19</f>
        <v>0</v>
      </c>
      <c r="G78" s="50">
        <v>0</v>
      </c>
      <c r="H78" s="50">
        <v>0</v>
      </c>
      <c r="I78" s="50">
        <v>0</v>
      </c>
      <c r="J78" s="50">
        <f>'2026供应商退货'!E19</f>
        <v>0</v>
      </c>
      <c r="K78" s="50">
        <f>'2027建议订货量'!E19</f>
        <v>0</v>
      </c>
      <c r="L78" s="50">
        <f t="shared" si="1"/>
        <v>0</v>
      </c>
      <c r="M78" s="51"/>
      <c r="N78" s="49" t="str">
        <f>建议原因!E19</f>
        <v>无净销量，建议0；先查现存库存及扫码映射</v>
      </c>
      <c r="O78" s="52" t="s">
        <v>35</v>
      </c>
    </row>
    <row r="79" ht="42" customHeight="1" spans="1:15">
      <c r="A79" s="47" t="s">
        <v>93</v>
      </c>
      <c r="B79" s="53" t="s">
        <v>36</v>
      </c>
      <c r="C79" s="54" t="s">
        <v>37</v>
      </c>
      <c r="D79" s="53" t="s">
        <v>38</v>
      </c>
      <c r="E79" s="55">
        <f>'2026进货数量'!F19</f>
        <v>0</v>
      </c>
      <c r="F79" s="55">
        <f>'2026净销售数量'!F19</f>
        <v>0</v>
      </c>
      <c r="G79" s="55">
        <v>0</v>
      </c>
      <c r="H79" s="55">
        <v>0</v>
      </c>
      <c r="I79" s="55">
        <v>0</v>
      </c>
      <c r="J79" s="55">
        <f>'2026供应商退货'!F19</f>
        <v>0</v>
      </c>
      <c r="K79" s="55">
        <f>'2027建议订货量'!F19</f>
        <v>0</v>
      </c>
      <c r="L79" s="55">
        <f t="shared" si="1"/>
        <v>0</v>
      </c>
      <c r="M79" s="56"/>
      <c r="N79" s="54" t="str">
        <f>建议原因!F19</f>
        <v>无净销量，建议0；先查现存库存及扫码映射</v>
      </c>
      <c r="O79" s="57" t="s">
        <v>35</v>
      </c>
    </row>
    <row r="80" ht="42" customHeight="1" spans="1:15">
      <c r="A80" s="58" t="s">
        <v>96</v>
      </c>
      <c r="B80" s="59" t="s">
        <v>21</v>
      </c>
      <c r="C80" s="60" t="s">
        <v>22</v>
      </c>
      <c r="D80" s="59" t="s">
        <v>23</v>
      </c>
      <c r="E80" s="61">
        <f>'2026进货数量'!B20</f>
        <v>0</v>
      </c>
      <c r="F80" s="61">
        <f>'2026净销售数量'!B20</f>
        <v>0</v>
      </c>
      <c r="G80" s="61">
        <v>0</v>
      </c>
      <c r="H80" s="61">
        <v>0</v>
      </c>
      <c r="I80" s="61">
        <v>0</v>
      </c>
      <c r="J80" s="61">
        <f>'2026供应商退货'!B20</f>
        <v>0</v>
      </c>
      <c r="K80" s="61">
        <f>'2027建议订货量'!B20</f>
        <v>0</v>
      </c>
      <c r="L80" s="61">
        <f t="shared" si="1"/>
        <v>0</v>
      </c>
      <c r="M80" s="62">
        <v>288</v>
      </c>
      <c r="N80" s="60" t="str">
        <f>建议原因!B20</f>
        <v>无净销量，建议0；先查现存库存及扫码映射；该货号整体退货率≥20%，谨慎减量</v>
      </c>
      <c r="O80" s="63" t="s">
        <v>35</v>
      </c>
    </row>
    <row r="81" ht="42" customHeight="1" spans="1:15">
      <c r="A81" s="58" t="s">
        <v>96</v>
      </c>
      <c r="B81" s="59" t="s">
        <v>25</v>
      </c>
      <c r="C81" s="60" t="s">
        <v>26</v>
      </c>
      <c r="D81" s="59" t="s">
        <v>23</v>
      </c>
      <c r="E81" s="61">
        <f>'2026进货数量'!C20</f>
        <v>288</v>
      </c>
      <c r="F81" s="61">
        <f>'2026净销售数量'!C20</f>
        <v>248</v>
      </c>
      <c r="G81" s="61">
        <v>0</v>
      </c>
      <c r="H81" s="61">
        <v>248</v>
      </c>
      <c r="I81" s="61">
        <v>0</v>
      </c>
      <c r="J81" s="61">
        <f>'2026供应商退货'!C20</f>
        <v>0</v>
      </c>
      <c r="K81" s="61">
        <f>'2027建议订货量'!C20</f>
        <v>288</v>
      </c>
      <c r="L81" s="61">
        <f t="shared" si="1"/>
        <v>0</v>
      </c>
      <c r="M81" s="62"/>
      <c r="N81" s="60" t="str">
        <f>建议原因!C20</f>
        <v>净销量248支持维持2026进货量；建议288</v>
      </c>
      <c r="O81" s="63" t="s">
        <v>97</v>
      </c>
    </row>
    <row r="82" ht="42" customHeight="1" spans="1:15">
      <c r="A82" s="58" t="s">
        <v>96</v>
      </c>
      <c r="B82" s="59" t="s">
        <v>28</v>
      </c>
      <c r="C82" s="60" t="s">
        <v>29</v>
      </c>
      <c r="D82" s="59" t="s">
        <v>30</v>
      </c>
      <c r="E82" s="61">
        <f>'2026进货数量'!D20</f>
        <v>144</v>
      </c>
      <c r="F82" s="61">
        <f>'2026净销售数量'!D20</f>
        <v>100</v>
      </c>
      <c r="G82" s="61">
        <v>0</v>
      </c>
      <c r="H82" s="61">
        <v>0</v>
      </c>
      <c r="I82" s="61">
        <v>100</v>
      </c>
      <c r="J82" s="61">
        <f>'2026供应商退货'!D20</f>
        <v>0</v>
      </c>
      <c r="K82" s="61">
        <f>'2027建议订货量'!D20</f>
        <v>144</v>
      </c>
      <c r="L82" s="61">
        <f t="shared" si="1"/>
        <v>0</v>
      </c>
      <c r="M82" s="62">
        <v>144</v>
      </c>
      <c r="N82" s="60" t="str">
        <f>建议原因!D20</f>
        <v>净销量100支持维持2026进货量；建议144；该货号整体退货率≥20%，谨慎减量</v>
      </c>
      <c r="O82" s="63" t="s">
        <v>98</v>
      </c>
    </row>
    <row r="83" ht="42" customHeight="1" spans="1:15">
      <c r="A83" s="58" t="s">
        <v>96</v>
      </c>
      <c r="B83" s="59" t="s">
        <v>32</v>
      </c>
      <c r="C83" s="60" t="s">
        <v>33</v>
      </c>
      <c r="D83" s="59" t="s">
        <v>34</v>
      </c>
      <c r="E83" s="61">
        <f>'2026进货数量'!E20</f>
        <v>0</v>
      </c>
      <c r="F83" s="61">
        <f>'2026净销售数量'!E20</f>
        <v>0</v>
      </c>
      <c r="G83" s="61">
        <v>0</v>
      </c>
      <c r="H83" s="61">
        <v>0</v>
      </c>
      <c r="I83" s="61">
        <v>0</v>
      </c>
      <c r="J83" s="61">
        <f>'2026供应商退货'!E20</f>
        <v>0</v>
      </c>
      <c r="K83" s="61">
        <f>'2027建议订货量'!E20</f>
        <v>0</v>
      </c>
      <c r="L83" s="61">
        <f t="shared" si="1"/>
        <v>0</v>
      </c>
      <c r="M83" s="62"/>
      <c r="N83" s="60" t="str">
        <f>建议原因!E20</f>
        <v>无净销量，建议0；先查现存库存及扫码映射</v>
      </c>
      <c r="O83" s="63" t="s">
        <v>35</v>
      </c>
    </row>
    <row r="84" ht="42" customHeight="1" spans="1:15">
      <c r="A84" s="58" t="s">
        <v>96</v>
      </c>
      <c r="B84" s="64" t="s">
        <v>36</v>
      </c>
      <c r="C84" s="65" t="s">
        <v>37</v>
      </c>
      <c r="D84" s="64" t="s">
        <v>38</v>
      </c>
      <c r="E84" s="66">
        <f>'2026进货数量'!F20</f>
        <v>0</v>
      </c>
      <c r="F84" s="66">
        <f>'2026净销售数量'!F20</f>
        <v>0</v>
      </c>
      <c r="G84" s="66">
        <v>0</v>
      </c>
      <c r="H84" s="66">
        <v>0</v>
      </c>
      <c r="I84" s="66">
        <v>0</v>
      </c>
      <c r="J84" s="66">
        <f>'2026供应商退货'!F20</f>
        <v>0</v>
      </c>
      <c r="K84" s="66">
        <f>'2027建议订货量'!F20</f>
        <v>0</v>
      </c>
      <c r="L84" s="66">
        <f t="shared" si="1"/>
        <v>0</v>
      </c>
      <c r="M84" s="67"/>
      <c r="N84" s="65" t="str">
        <f>建议原因!F20</f>
        <v>无净销量，建议0；先查现存库存及扫码映射</v>
      </c>
      <c r="O84" s="68" t="s">
        <v>35</v>
      </c>
    </row>
    <row r="85" ht="42" customHeight="1" spans="1:15">
      <c r="A85" s="47" t="s">
        <v>99</v>
      </c>
      <c r="B85" s="48" t="s">
        <v>21</v>
      </c>
      <c r="C85" s="49" t="s">
        <v>22</v>
      </c>
      <c r="D85" s="48" t="s">
        <v>23</v>
      </c>
      <c r="E85" s="50">
        <f>'2026进货数量'!B21</f>
        <v>288</v>
      </c>
      <c r="F85" s="50">
        <f>'2026净销售数量'!B21</f>
        <v>195</v>
      </c>
      <c r="G85" s="50">
        <v>0</v>
      </c>
      <c r="H85" s="50">
        <v>195</v>
      </c>
      <c r="I85" s="50">
        <v>0</v>
      </c>
      <c r="J85" s="50">
        <f>'2026供应商退货'!B21</f>
        <v>110</v>
      </c>
      <c r="K85" s="50">
        <f>'2027建议订货量'!B21</f>
        <v>144</v>
      </c>
      <c r="L85" s="50">
        <f t="shared" si="1"/>
        <v>-144</v>
      </c>
      <c r="M85" s="51">
        <v>288</v>
      </c>
      <c r="N85" s="49" t="str">
        <f>建议原因!B21</f>
        <v>按净销量195及包装规格，建议从2026进货288降至144；2026退供应商110张（视为季后库存）；该货号整体退货率≥20%，谨慎减量</v>
      </c>
      <c r="O85" s="52" t="s">
        <v>100</v>
      </c>
    </row>
    <row r="86" ht="42" customHeight="1" spans="1:15">
      <c r="A86" s="47" t="s">
        <v>99</v>
      </c>
      <c r="B86" s="48" t="s">
        <v>25</v>
      </c>
      <c r="C86" s="49" t="s">
        <v>26</v>
      </c>
      <c r="D86" s="48" t="s">
        <v>23</v>
      </c>
      <c r="E86" s="50">
        <f>'2026进货数量'!C21</f>
        <v>0</v>
      </c>
      <c r="F86" s="50">
        <f>'2026净销售数量'!C21</f>
        <v>2</v>
      </c>
      <c r="G86" s="50">
        <v>0</v>
      </c>
      <c r="H86" s="50">
        <v>2</v>
      </c>
      <c r="I86" s="50">
        <v>0</v>
      </c>
      <c r="J86" s="50">
        <f>'2026供应商退货'!C21</f>
        <v>0</v>
      </c>
      <c r="K86" s="50">
        <f>'2027建议订货量'!C21</f>
        <v>0</v>
      </c>
      <c r="L86" s="50">
        <f t="shared" si="1"/>
        <v>0</v>
      </c>
      <c r="M86" s="51"/>
      <c r="N86" s="49" t="str">
        <f>建议原因!C21</f>
        <v>净销量2，不足半套72；建议0，由中央库存补货</v>
      </c>
      <c r="O86" s="52" t="s">
        <v>35</v>
      </c>
    </row>
    <row r="87" ht="42" customHeight="1" spans="1:15">
      <c r="A87" s="47" t="s">
        <v>99</v>
      </c>
      <c r="B87" s="48" t="s">
        <v>28</v>
      </c>
      <c r="C87" s="49" t="s">
        <v>29</v>
      </c>
      <c r="D87" s="48" t="s">
        <v>30</v>
      </c>
      <c r="E87" s="50">
        <f>'2026进货数量'!D21</f>
        <v>0</v>
      </c>
      <c r="F87" s="50">
        <f>'2026净销售数量'!D21</f>
        <v>16</v>
      </c>
      <c r="G87" s="50">
        <v>0</v>
      </c>
      <c r="H87" s="50">
        <v>0</v>
      </c>
      <c r="I87" s="50">
        <v>16</v>
      </c>
      <c r="J87" s="50">
        <f>'2026供应商退货'!D21</f>
        <v>0</v>
      </c>
      <c r="K87" s="50">
        <f>'2027建议订货量'!D21</f>
        <v>0</v>
      </c>
      <c r="L87" s="50">
        <f t="shared" si="1"/>
        <v>0</v>
      </c>
      <c r="M87" s="51"/>
      <c r="N87" s="49" t="str">
        <f>建议原因!D21</f>
        <v>净销量16，不足半套72；建议0，由中央库存补货；该货号整体退货率≥20%，谨慎减量</v>
      </c>
      <c r="O87" s="52" t="s">
        <v>101</v>
      </c>
    </row>
    <row r="88" ht="42" customHeight="1" spans="1:15">
      <c r="A88" s="47" t="s">
        <v>99</v>
      </c>
      <c r="B88" s="48" t="s">
        <v>32</v>
      </c>
      <c r="C88" s="49" t="s">
        <v>33</v>
      </c>
      <c r="D88" s="48" t="s">
        <v>34</v>
      </c>
      <c r="E88" s="50">
        <f>'2026进货数量'!E21</f>
        <v>300</v>
      </c>
      <c r="F88" s="50">
        <f>'2026净销售数量'!E21</f>
        <v>298</v>
      </c>
      <c r="G88" s="50">
        <v>298</v>
      </c>
      <c r="H88" s="50">
        <v>0</v>
      </c>
      <c r="I88" s="50">
        <v>0</v>
      </c>
      <c r="J88" s="50">
        <f>'2026供应商退货'!E21</f>
        <v>0</v>
      </c>
      <c r="K88" s="50">
        <f>'2027建议订货量'!E21</f>
        <v>300</v>
      </c>
      <c r="L88" s="50">
        <f t="shared" si="1"/>
        <v>0</v>
      </c>
      <c r="M88" s="51">
        <v>600</v>
      </c>
      <c r="N88" s="49" t="str">
        <f>建议原因!E21</f>
        <v>净销量298支持维持2026进货量；建议300</v>
      </c>
      <c r="O88" s="52" t="s">
        <v>35</v>
      </c>
    </row>
    <row r="89" ht="42" customHeight="1" spans="1:15">
      <c r="A89" s="47" t="s">
        <v>99</v>
      </c>
      <c r="B89" s="53" t="s">
        <v>36</v>
      </c>
      <c r="C89" s="54" t="s">
        <v>37</v>
      </c>
      <c r="D89" s="53" t="s">
        <v>38</v>
      </c>
      <c r="E89" s="55">
        <f>'2026进货数量'!F21</f>
        <v>0</v>
      </c>
      <c r="F89" s="55">
        <f>'2026净销售数量'!F21</f>
        <v>0</v>
      </c>
      <c r="G89" s="55">
        <v>0</v>
      </c>
      <c r="H89" s="55">
        <v>0</v>
      </c>
      <c r="I89" s="55">
        <v>0</v>
      </c>
      <c r="J89" s="55">
        <f>'2026供应商退货'!F21</f>
        <v>0</v>
      </c>
      <c r="K89" s="55">
        <f>'2027建议订货量'!F21</f>
        <v>0</v>
      </c>
      <c r="L89" s="55">
        <f t="shared" si="1"/>
        <v>0</v>
      </c>
      <c r="M89" s="56"/>
      <c r="N89" s="54" t="str">
        <f>建议原因!F21</f>
        <v>无净销量，建议0；先查现存库存及扫码映射</v>
      </c>
      <c r="O89" s="57" t="s">
        <v>35</v>
      </c>
    </row>
    <row r="90" ht="42" customHeight="1" spans="1:15">
      <c r="A90" s="58" t="s">
        <v>102</v>
      </c>
      <c r="B90" s="59" t="s">
        <v>21</v>
      </c>
      <c r="C90" s="60" t="s">
        <v>22</v>
      </c>
      <c r="D90" s="59" t="s">
        <v>23</v>
      </c>
      <c r="E90" s="61">
        <f>'2026进货数量'!B22</f>
        <v>0</v>
      </c>
      <c r="F90" s="61">
        <f>'2026净销售数量'!B22</f>
        <v>0</v>
      </c>
      <c r="G90" s="61">
        <v>0</v>
      </c>
      <c r="H90" s="61">
        <v>0</v>
      </c>
      <c r="I90" s="61">
        <v>0</v>
      </c>
      <c r="J90" s="61">
        <f>'2026供应商退货'!B22</f>
        <v>0</v>
      </c>
      <c r="K90" s="61">
        <f>'2027建议订货量'!B22</f>
        <v>0</v>
      </c>
      <c r="L90" s="61">
        <f t="shared" si="1"/>
        <v>0</v>
      </c>
      <c r="M90" s="62">
        <v>432</v>
      </c>
      <c r="N90" s="60" t="str">
        <f>建议原因!B22</f>
        <v>无净销量，建议0；先查现存库存及扫码映射；该货号整体退货率≥20%，谨慎减量</v>
      </c>
      <c r="O90" s="63" t="s">
        <v>35</v>
      </c>
    </row>
    <row r="91" ht="42" customHeight="1" spans="1:15">
      <c r="A91" s="58" t="s">
        <v>102</v>
      </c>
      <c r="B91" s="59" t="s">
        <v>25</v>
      </c>
      <c r="C91" s="60" t="s">
        <v>26</v>
      </c>
      <c r="D91" s="59" t="s">
        <v>23</v>
      </c>
      <c r="E91" s="61">
        <f>'2026进货数量'!C22</f>
        <v>0</v>
      </c>
      <c r="F91" s="61">
        <f>'2026净销售数量'!C22</f>
        <v>235</v>
      </c>
      <c r="G91" s="61">
        <v>0</v>
      </c>
      <c r="H91" s="61">
        <v>235</v>
      </c>
      <c r="I91" s="61">
        <v>0</v>
      </c>
      <c r="J91" s="61">
        <f>'2026供应商退货'!C22</f>
        <v>0</v>
      </c>
      <c r="K91" s="61">
        <f>'2027建议订货量'!C22</f>
        <v>288</v>
      </c>
      <c r="L91" s="61">
        <f t="shared" si="1"/>
        <v>288</v>
      </c>
      <c r="M91" s="62"/>
      <c r="N91" s="60" t="str">
        <f>建议原因!C22</f>
        <v>有净销量235但无直采，可能由仓库调拨；建议288</v>
      </c>
      <c r="O91" s="63" t="s">
        <v>103</v>
      </c>
    </row>
    <row r="92" ht="42" customHeight="1" spans="1:15">
      <c r="A92" s="58" t="s">
        <v>102</v>
      </c>
      <c r="B92" s="59" t="s">
        <v>28</v>
      </c>
      <c r="C92" s="60" t="s">
        <v>29</v>
      </c>
      <c r="D92" s="59" t="s">
        <v>30</v>
      </c>
      <c r="E92" s="61">
        <f>'2026进货数量'!D22</f>
        <v>0</v>
      </c>
      <c r="F92" s="61">
        <f>'2026净销售数量'!D22</f>
        <v>0</v>
      </c>
      <c r="G92" s="61">
        <v>0</v>
      </c>
      <c r="H92" s="61">
        <v>0</v>
      </c>
      <c r="I92" s="61">
        <v>0</v>
      </c>
      <c r="J92" s="61">
        <f>'2026供应商退货'!D22</f>
        <v>0</v>
      </c>
      <c r="K92" s="61">
        <f>'2027建议订货量'!D22</f>
        <v>0</v>
      </c>
      <c r="L92" s="61">
        <f t="shared" si="1"/>
        <v>0</v>
      </c>
      <c r="M92" s="62"/>
      <c r="N92" s="60" t="str">
        <f>建议原因!D22</f>
        <v>无净销量，建议0；先查现存库存及扫码映射；该货号整体退货率≥20%，谨慎减量</v>
      </c>
      <c r="O92" s="63" t="s">
        <v>35</v>
      </c>
    </row>
    <row r="93" ht="42" customHeight="1" spans="1:15">
      <c r="A93" s="58" t="s">
        <v>102</v>
      </c>
      <c r="B93" s="59" t="s">
        <v>32</v>
      </c>
      <c r="C93" s="60" t="s">
        <v>33</v>
      </c>
      <c r="D93" s="59" t="s">
        <v>34</v>
      </c>
      <c r="E93" s="61">
        <f>'2026进货数量'!E22</f>
        <v>0</v>
      </c>
      <c r="F93" s="61">
        <f>'2026净销售数量'!E22</f>
        <v>291</v>
      </c>
      <c r="G93" s="61">
        <v>291</v>
      </c>
      <c r="H93" s="61">
        <v>0</v>
      </c>
      <c r="I93" s="61">
        <v>0</v>
      </c>
      <c r="J93" s="61">
        <f>'2026供应商退货'!E22</f>
        <v>0</v>
      </c>
      <c r="K93" s="61">
        <f>'2027建议订货量'!E22</f>
        <v>300</v>
      </c>
      <c r="L93" s="61">
        <f t="shared" si="1"/>
        <v>300</v>
      </c>
      <c r="M93" s="62">
        <v>600</v>
      </c>
      <c r="N93" s="60" t="str">
        <f>建议原因!E22</f>
        <v>有净销量291但无直采，可能由仓库调拨；建议300</v>
      </c>
      <c r="O93" s="63" t="s">
        <v>104</v>
      </c>
    </row>
    <row r="94" ht="42" customHeight="1" spans="1:15">
      <c r="A94" s="58" t="s">
        <v>102</v>
      </c>
      <c r="B94" s="64" t="s">
        <v>36</v>
      </c>
      <c r="C94" s="65" t="s">
        <v>37</v>
      </c>
      <c r="D94" s="64" t="s">
        <v>38</v>
      </c>
      <c r="E94" s="66">
        <f>'2026进货数量'!F22</f>
        <v>0</v>
      </c>
      <c r="F94" s="66">
        <f>'2026净销售数量'!F22</f>
        <v>0</v>
      </c>
      <c r="G94" s="66">
        <v>0</v>
      </c>
      <c r="H94" s="66">
        <v>0</v>
      </c>
      <c r="I94" s="66">
        <v>0</v>
      </c>
      <c r="J94" s="66">
        <f>'2026供应商退货'!F22</f>
        <v>0</v>
      </c>
      <c r="K94" s="66">
        <f>'2027建议订货量'!F22</f>
        <v>0</v>
      </c>
      <c r="L94" s="66">
        <f t="shared" si="1"/>
        <v>0</v>
      </c>
      <c r="M94" s="67"/>
      <c r="N94" s="65" t="str">
        <f>建议原因!F22</f>
        <v>无净销量，建议0；先查现存库存及扫码映射</v>
      </c>
      <c r="O94" s="68" t="s">
        <v>35</v>
      </c>
    </row>
    <row r="95" ht="42" customHeight="1" spans="1:15">
      <c r="A95" s="47" t="s">
        <v>105</v>
      </c>
      <c r="B95" s="48" t="s">
        <v>21</v>
      </c>
      <c r="C95" s="49" t="s">
        <v>22</v>
      </c>
      <c r="D95" s="48" t="s">
        <v>23</v>
      </c>
      <c r="E95" s="50">
        <f>'2026进货数量'!B23</f>
        <v>288</v>
      </c>
      <c r="F95" s="50">
        <f>'2026净销售数量'!B23</f>
        <v>167</v>
      </c>
      <c r="G95" s="50">
        <v>0</v>
      </c>
      <c r="H95" s="50">
        <v>167</v>
      </c>
      <c r="I95" s="50">
        <v>0</v>
      </c>
      <c r="J95" s="50">
        <f>'2026供应商退货'!B23</f>
        <v>0</v>
      </c>
      <c r="K95" s="50">
        <f>'2027建议订货量'!B23</f>
        <v>144</v>
      </c>
      <c r="L95" s="50">
        <f t="shared" si="1"/>
        <v>-144</v>
      </c>
      <c r="M95" s="51">
        <v>288</v>
      </c>
      <c r="N95" s="49" t="str">
        <f>建议原因!B23</f>
        <v>按净销量167及包装规格，建议从2026进货288降至144；该货号整体退货率≥20%，谨慎减量</v>
      </c>
      <c r="O95" s="52" t="s">
        <v>106</v>
      </c>
    </row>
    <row r="96" ht="42" customHeight="1" spans="1:15">
      <c r="A96" s="47" t="s">
        <v>105</v>
      </c>
      <c r="B96" s="48" t="s">
        <v>25</v>
      </c>
      <c r="C96" s="49" t="s">
        <v>26</v>
      </c>
      <c r="D96" s="48" t="s">
        <v>23</v>
      </c>
      <c r="E96" s="50">
        <f>'2026进货数量'!C23</f>
        <v>144</v>
      </c>
      <c r="F96" s="50">
        <f>'2026净销售数量'!C23</f>
        <v>0</v>
      </c>
      <c r="G96" s="50">
        <v>0</v>
      </c>
      <c r="H96" s="50">
        <v>0</v>
      </c>
      <c r="I96" s="50">
        <v>0</v>
      </c>
      <c r="J96" s="50">
        <f>'2026供应商退货'!C23</f>
        <v>0</v>
      </c>
      <c r="K96" s="50">
        <f>'2027建议订货量'!C23</f>
        <v>0</v>
      </c>
      <c r="L96" s="50">
        <f t="shared" si="1"/>
        <v>-144</v>
      </c>
      <c r="M96" s="51"/>
      <c r="N96" s="49" t="str">
        <f>建议原因!C23</f>
        <v>无净销量，建议0；先查现存库存及扫码映射</v>
      </c>
      <c r="O96" s="52" t="s">
        <v>35</v>
      </c>
    </row>
    <row r="97" ht="42" customHeight="1" spans="1:15">
      <c r="A97" s="47" t="s">
        <v>105</v>
      </c>
      <c r="B97" s="48" t="s">
        <v>28</v>
      </c>
      <c r="C97" s="49" t="s">
        <v>29</v>
      </c>
      <c r="D97" s="48" t="s">
        <v>30</v>
      </c>
      <c r="E97" s="50">
        <f>'2026进货数量'!D23</f>
        <v>288</v>
      </c>
      <c r="F97" s="50">
        <f>'2026净销售数量'!D23</f>
        <v>69</v>
      </c>
      <c r="G97" s="50">
        <v>0</v>
      </c>
      <c r="H97" s="50">
        <v>0</v>
      </c>
      <c r="I97" s="50">
        <v>69</v>
      </c>
      <c r="J97" s="50">
        <f>'2026供应商退货'!D23</f>
        <v>0</v>
      </c>
      <c r="K97" s="50">
        <f>'2027建议订货量'!D23</f>
        <v>0</v>
      </c>
      <c r="L97" s="50">
        <f t="shared" si="1"/>
        <v>-288</v>
      </c>
      <c r="M97" s="51">
        <v>144</v>
      </c>
      <c r="N97" s="49" t="str">
        <f>建议原因!D23</f>
        <v>净销量69，不足半套72；建议0，由中央库存补货；该货号整体退货率≥20%，谨慎减量</v>
      </c>
      <c r="O97" s="52" t="s">
        <v>107</v>
      </c>
    </row>
    <row r="98" ht="42" customHeight="1" spans="1:15">
      <c r="A98" s="47" t="s">
        <v>105</v>
      </c>
      <c r="B98" s="48" t="s">
        <v>32</v>
      </c>
      <c r="C98" s="49" t="s">
        <v>33</v>
      </c>
      <c r="D98" s="48" t="s">
        <v>34</v>
      </c>
      <c r="E98" s="50">
        <f>'2026进货数量'!E23</f>
        <v>0</v>
      </c>
      <c r="F98" s="50">
        <f>'2026净销售数量'!E23</f>
        <v>0</v>
      </c>
      <c r="G98" s="50">
        <v>0</v>
      </c>
      <c r="H98" s="50">
        <v>0</v>
      </c>
      <c r="I98" s="50">
        <v>0</v>
      </c>
      <c r="J98" s="50">
        <f>'2026供应商退货'!E23</f>
        <v>0</v>
      </c>
      <c r="K98" s="50">
        <f>'2027建议订货量'!E23</f>
        <v>0</v>
      </c>
      <c r="L98" s="50">
        <f t="shared" si="1"/>
        <v>0</v>
      </c>
      <c r="M98" s="51"/>
      <c r="N98" s="49" t="str">
        <f>建议原因!E23</f>
        <v>无净销量，建议0；先查现存库存及扫码映射</v>
      </c>
      <c r="O98" s="52" t="s">
        <v>35</v>
      </c>
    </row>
    <row r="99" ht="42" customHeight="1" spans="1:15">
      <c r="A99" s="47" t="s">
        <v>105</v>
      </c>
      <c r="B99" s="53" t="s">
        <v>36</v>
      </c>
      <c r="C99" s="54" t="s">
        <v>37</v>
      </c>
      <c r="D99" s="53" t="s">
        <v>38</v>
      </c>
      <c r="E99" s="55">
        <f>'2026进货数量'!F23</f>
        <v>0</v>
      </c>
      <c r="F99" s="55">
        <f>'2026净销售数量'!F23</f>
        <v>0</v>
      </c>
      <c r="G99" s="55">
        <v>0</v>
      </c>
      <c r="H99" s="55">
        <v>0</v>
      </c>
      <c r="I99" s="55">
        <v>0</v>
      </c>
      <c r="J99" s="55">
        <f>'2026供应商退货'!F23</f>
        <v>0</v>
      </c>
      <c r="K99" s="55">
        <f>'2027建议订货量'!F23</f>
        <v>0</v>
      </c>
      <c r="L99" s="55">
        <f t="shared" si="1"/>
        <v>0</v>
      </c>
      <c r="M99" s="56"/>
      <c r="N99" s="54" t="str">
        <f>建议原因!F23</f>
        <v>无净销量，建议0；先查现存库存及扫码映射</v>
      </c>
      <c r="O99" s="57" t="s">
        <v>35</v>
      </c>
    </row>
    <row r="100" ht="42" customHeight="1" spans="1:15">
      <c r="A100" s="58" t="s">
        <v>108</v>
      </c>
      <c r="B100" s="59" t="s">
        <v>21</v>
      </c>
      <c r="C100" s="60" t="s">
        <v>22</v>
      </c>
      <c r="D100" s="59" t="s">
        <v>23</v>
      </c>
      <c r="E100" s="61">
        <f>'2026进货数量'!B24</f>
        <v>288</v>
      </c>
      <c r="F100" s="61">
        <f>'2026净销售数量'!B24</f>
        <v>144</v>
      </c>
      <c r="G100" s="61">
        <v>0</v>
      </c>
      <c r="H100" s="61">
        <v>144</v>
      </c>
      <c r="I100" s="61">
        <v>0</v>
      </c>
      <c r="J100" s="61">
        <f>'2026供应商退货'!B24</f>
        <v>58</v>
      </c>
      <c r="K100" s="61">
        <f>'2027建议订货量'!B24</f>
        <v>144</v>
      </c>
      <c r="L100" s="61">
        <f t="shared" si="1"/>
        <v>-144</v>
      </c>
      <c r="M100" s="62">
        <v>288</v>
      </c>
      <c r="N100" s="60" t="str">
        <f>建议原因!B24</f>
        <v>按净销量144及包装规格，建议从2026进货288降至144；2026退供应商58张（视为季后库存）；该货号整体退货率≥20%，谨慎减量</v>
      </c>
      <c r="O100" s="63" t="s">
        <v>109</v>
      </c>
    </row>
    <row r="101" ht="42" customHeight="1" spans="1:15">
      <c r="A101" s="58" t="s">
        <v>108</v>
      </c>
      <c r="B101" s="59" t="s">
        <v>25</v>
      </c>
      <c r="C101" s="60" t="s">
        <v>26</v>
      </c>
      <c r="D101" s="59" t="s">
        <v>23</v>
      </c>
      <c r="E101" s="61">
        <f>'2026进货数量'!C24</f>
        <v>0</v>
      </c>
      <c r="F101" s="61">
        <f>'2026净销售数量'!C24</f>
        <v>0</v>
      </c>
      <c r="G101" s="61">
        <v>0</v>
      </c>
      <c r="H101" s="61">
        <v>0</v>
      </c>
      <c r="I101" s="61">
        <v>0</v>
      </c>
      <c r="J101" s="61">
        <f>'2026供应商退货'!C24</f>
        <v>0</v>
      </c>
      <c r="K101" s="61">
        <f>'2027建议订货量'!C24</f>
        <v>0</v>
      </c>
      <c r="L101" s="61">
        <f t="shared" si="1"/>
        <v>0</v>
      </c>
      <c r="M101" s="62"/>
      <c r="N101" s="60" t="str">
        <f>建议原因!C24</f>
        <v>无净销量，建议0；先查现存库存及扫码映射</v>
      </c>
      <c r="O101" s="63" t="s">
        <v>35</v>
      </c>
    </row>
    <row r="102" ht="42" customHeight="1" spans="1:15">
      <c r="A102" s="58" t="s">
        <v>108</v>
      </c>
      <c r="B102" s="59" t="s">
        <v>28</v>
      </c>
      <c r="C102" s="60" t="s">
        <v>29</v>
      </c>
      <c r="D102" s="59" t="s">
        <v>30</v>
      </c>
      <c r="E102" s="61">
        <f>'2026进货数量'!D24</f>
        <v>144</v>
      </c>
      <c r="F102" s="61">
        <f>'2026净销售数量'!D24</f>
        <v>114</v>
      </c>
      <c r="G102" s="61">
        <v>0</v>
      </c>
      <c r="H102" s="61">
        <v>0</v>
      </c>
      <c r="I102" s="61">
        <v>114</v>
      </c>
      <c r="J102" s="61">
        <f>'2026供应商退货'!D24</f>
        <v>13</v>
      </c>
      <c r="K102" s="61">
        <f>'2027建议订货量'!D24</f>
        <v>144</v>
      </c>
      <c r="L102" s="61">
        <f t="shared" si="1"/>
        <v>0</v>
      </c>
      <c r="M102" s="62">
        <v>288</v>
      </c>
      <c r="N102" s="60" t="str">
        <f>建议原因!D24</f>
        <v>净销量114支持维持2026进货量；建议144；2026退供应商13张（视为季后库存）；该货号整体退货率≥20%，谨慎减量</v>
      </c>
      <c r="O102" s="63" t="s">
        <v>110</v>
      </c>
    </row>
    <row r="103" ht="42" customHeight="1" spans="1:15">
      <c r="A103" s="58" t="s">
        <v>108</v>
      </c>
      <c r="B103" s="59" t="s">
        <v>32</v>
      </c>
      <c r="C103" s="60" t="s">
        <v>33</v>
      </c>
      <c r="D103" s="59" t="s">
        <v>34</v>
      </c>
      <c r="E103" s="61">
        <f>'2026进货数量'!E24</f>
        <v>0</v>
      </c>
      <c r="F103" s="61">
        <f>'2026净销售数量'!E24</f>
        <v>0</v>
      </c>
      <c r="G103" s="61">
        <v>0</v>
      </c>
      <c r="H103" s="61">
        <v>0</v>
      </c>
      <c r="I103" s="61">
        <v>0</v>
      </c>
      <c r="J103" s="61">
        <f>'2026供应商退货'!E24</f>
        <v>0</v>
      </c>
      <c r="K103" s="61">
        <f>'2027建议订货量'!E24</f>
        <v>0</v>
      </c>
      <c r="L103" s="61">
        <f t="shared" si="1"/>
        <v>0</v>
      </c>
      <c r="M103" s="62"/>
      <c r="N103" s="60" t="str">
        <f>建议原因!E24</f>
        <v>无净销量，建议0；先查现存库存及扫码映射</v>
      </c>
      <c r="O103" s="63" t="s">
        <v>35</v>
      </c>
    </row>
    <row r="104" ht="42" customHeight="1" spans="1:15">
      <c r="A104" s="58" t="s">
        <v>108</v>
      </c>
      <c r="B104" s="64" t="s">
        <v>36</v>
      </c>
      <c r="C104" s="65" t="s">
        <v>37</v>
      </c>
      <c r="D104" s="64" t="s">
        <v>38</v>
      </c>
      <c r="E104" s="66">
        <f>'2026进货数量'!F24</f>
        <v>0</v>
      </c>
      <c r="F104" s="66">
        <f>'2026净销售数量'!F24</f>
        <v>0</v>
      </c>
      <c r="G104" s="66">
        <v>0</v>
      </c>
      <c r="H104" s="66">
        <v>0</v>
      </c>
      <c r="I104" s="66">
        <v>0</v>
      </c>
      <c r="J104" s="66">
        <f>'2026供应商退货'!F24</f>
        <v>0</v>
      </c>
      <c r="K104" s="66">
        <f>'2027建议订货量'!F24</f>
        <v>0</v>
      </c>
      <c r="L104" s="66">
        <f t="shared" si="1"/>
        <v>0</v>
      </c>
      <c r="M104" s="67"/>
      <c r="N104" s="65" t="str">
        <f>建议原因!F24</f>
        <v>无净销量，建议0；先查现存库存及扫码映射</v>
      </c>
      <c r="O104" s="68" t="s">
        <v>35</v>
      </c>
    </row>
    <row r="105" ht="42" customHeight="1" spans="1:15">
      <c r="A105" s="47" t="s">
        <v>111</v>
      </c>
      <c r="B105" s="48" t="s">
        <v>21</v>
      </c>
      <c r="C105" s="49" t="s">
        <v>22</v>
      </c>
      <c r="D105" s="48" t="s">
        <v>23</v>
      </c>
      <c r="E105" s="50">
        <f>'2026进货数量'!B25</f>
        <v>0</v>
      </c>
      <c r="F105" s="50">
        <f>'2026净销售数量'!B25</f>
        <v>111</v>
      </c>
      <c r="G105" s="50">
        <v>0</v>
      </c>
      <c r="H105" s="50">
        <v>111</v>
      </c>
      <c r="I105" s="50">
        <v>0</v>
      </c>
      <c r="J105" s="50">
        <f>'2026供应商退货'!B25</f>
        <v>0</v>
      </c>
      <c r="K105" s="50">
        <f>'2027建议订货量'!B25</f>
        <v>144</v>
      </c>
      <c r="L105" s="50">
        <f t="shared" si="1"/>
        <v>144</v>
      </c>
      <c r="M105" s="51">
        <v>288</v>
      </c>
      <c r="N105" s="49" t="str">
        <f>建议原因!B25</f>
        <v>有净销量111但无直采，可能由仓库调拨；建议144；该货号整体退货率≥20%，谨慎减量</v>
      </c>
      <c r="O105" s="52" t="s">
        <v>112</v>
      </c>
    </row>
    <row r="106" ht="42" customHeight="1" spans="1:15">
      <c r="A106" s="47" t="s">
        <v>111</v>
      </c>
      <c r="B106" s="48" t="s">
        <v>25</v>
      </c>
      <c r="C106" s="49" t="s">
        <v>26</v>
      </c>
      <c r="D106" s="48" t="s">
        <v>23</v>
      </c>
      <c r="E106" s="50">
        <f>'2026进货数量'!C25</f>
        <v>0</v>
      </c>
      <c r="F106" s="50">
        <f>'2026净销售数量'!C25</f>
        <v>73</v>
      </c>
      <c r="G106" s="50">
        <v>0</v>
      </c>
      <c r="H106" s="50">
        <v>73</v>
      </c>
      <c r="I106" s="50">
        <v>0</v>
      </c>
      <c r="J106" s="50">
        <f>'2026供应商退货'!C25</f>
        <v>0</v>
      </c>
      <c r="K106" s="50">
        <f>'2027建议订货量'!C25</f>
        <v>144</v>
      </c>
      <c r="L106" s="50">
        <f t="shared" si="1"/>
        <v>144</v>
      </c>
      <c r="M106" s="51"/>
      <c r="N106" s="49" t="str">
        <f>建议原因!C25</f>
        <v>有净销量73但无直采，可能由仓库调拨；建议144</v>
      </c>
      <c r="O106" s="52" t="s">
        <v>113</v>
      </c>
    </row>
    <row r="107" ht="42" customHeight="1" spans="1:15">
      <c r="A107" s="47" t="s">
        <v>111</v>
      </c>
      <c r="B107" s="48" t="s">
        <v>28</v>
      </c>
      <c r="C107" s="49" t="s">
        <v>29</v>
      </c>
      <c r="D107" s="48" t="s">
        <v>30</v>
      </c>
      <c r="E107" s="50">
        <f>'2026进货数量'!D25</f>
        <v>0</v>
      </c>
      <c r="F107" s="50">
        <f>'2026净销售数量'!D25</f>
        <v>127</v>
      </c>
      <c r="G107" s="50">
        <v>0</v>
      </c>
      <c r="H107" s="50">
        <v>0</v>
      </c>
      <c r="I107" s="50">
        <v>127</v>
      </c>
      <c r="J107" s="50">
        <f>'2026供应商退货'!D25</f>
        <v>0</v>
      </c>
      <c r="K107" s="50">
        <f>'2027建议订货量'!D25</f>
        <v>144</v>
      </c>
      <c r="L107" s="50">
        <f t="shared" si="1"/>
        <v>144</v>
      </c>
      <c r="M107" s="51">
        <v>288</v>
      </c>
      <c r="N107" s="49" t="str">
        <f>建议原因!D25</f>
        <v>有净销量127但无直采，可能由仓库调拨；建议144；该货号整体退货率≥20%，谨慎减量</v>
      </c>
      <c r="O107" s="52" t="s">
        <v>114</v>
      </c>
    </row>
    <row r="108" ht="42" customHeight="1" spans="1:15">
      <c r="A108" s="47" t="s">
        <v>111</v>
      </c>
      <c r="B108" s="48" t="s">
        <v>32</v>
      </c>
      <c r="C108" s="49" t="s">
        <v>33</v>
      </c>
      <c r="D108" s="48" t="s">
        <v>34</v>
      </c>
      <c r="E108" s="50">
        <f>'2026进货数量'!E25</f>
        <v>0</v>
      </c>
      <c r="F108" s="50">
        <f>'2026净销售数量'!E25</f>
        <v>0</v>
      </c>
      <c r="G108" s="50">
        <v>0</v>
      </c>
      <c r="H108" s="50">
        <v>0</v>
      </c>
      <c r="I108" s="50">
        <v>0</v>
      </c>
      <c r="J108" s="50">
        <f>'2026供应商退货'!E25</f>
        <v>0</v>
      </c>
      <c r="K108" s="50">
        <f>'2027建议订货量'!E25</f>
        <v>0</v>
      </c>
      <c r="L108" s="50">
        <f t="shared" si="1"/>
        <v>0</v>
      </c>
      <c r="M108" s="51"/>
      <c r="N108" s="49" t="str">
        <f>建议原因!E25</f>
        <v>无净销量，建议0；先查现存库存及扫码映射</v>
      </c>
      <c r="O108" s="52" t="s">
        <v>35</v>
      </c>
    </row>
    <row r="109" ht="42" customHeight="1" spans="1:15">
      <c r="A109" s="47" t="s">
        <v>111</v>
      </c>
      <c r="B109" s="53" t="s">
        <v>36</v>
      </c>
      <c r="C109" s="54" t="s">
        <v>37</v>
      </c>
      <c r="D109" s="53" t="s">
        <v>38</v>
      </c>
      <c r="E109" s="55">
        <f>'2026进货数量'!F25</f>
        <v>0</v>
      </c>
      <c r="F109" s="55">
        <f>'2026净销售数量'!F25</f>
        <v>0</v>
      </c>
      <c r="G109" s="55">
        <v>0</v>
      </c>
      <c r="H109" s="55">
        <v>0</v>
      </c>
      <c r="I109" s="55">
        <v>0</v>
      </c>
      <c r="J109" s="55">
        <f>'2026供应商退货'!F25</f>
        <v>0</v>
      </c>
      <c r="K109" s="55">
        <f>'2027建议订货量'!F25</f>
        <v>0</v>
      </c>
      <c r="L109" s="55">
        <f t="shared" si="1"/>
        <v>0</v>
      </c>
      <c r="M109" s="56"/>
      <c r="N109" s="54" t="str">
        <f>建议原因!F25</f>
        <v>无净销量，建议0；先查现存库存及扫码映射</v>
      </c>
      <c r="O109" s="57" t="s">
        <v>35</v>
      </c>
    </row>
    <row r="110" ht="42" customHeight="1" spans="1:15">
      <c r="A110" s="58" t="s">
        <v>115</v>
      </c>
      <c r="B110" s="59" t="s">
        <v>21</v>
      </c>
      <c r="C110" s="60" t="s">
        <v>22</v>
      </c>
      <c r="D110" s="59" t="s">
        <v>23</v>
      </c>
      <c r="E110" s="61">
        <f>'2026进货数量'!B26</f>
        <v>288</v>
      </c>
      <c r="F110" s="61">
        <f>'2026净销售数量'!B26</f>
        <v>182</v>
      </c>
      <c r="G110" s="61">
        <v>0</v>
      </c>
      <c r="H110" s="61">
        <v>182</v>
      </c>
      <c r="I110" s="61">
        <v>0</v>
      </c>
      <c r="J110" s="61">
        <f>'2026供应商退货'!B26</f>
        <v>0</v>
      </c>
      <c r="K110" s="61">
        <f>'2027建议订货量'!B26</f>
        <v>144</v>
      </c>
      <c r="L110" s="61">
        <f t="shared" si="1"/>
        <v>-144</v>
      </c>
      <c r="M110" s="62">
        <v>432</v>
      </c>
      <c r="N110" s="60" t="str">
        <f>建议原因!B26</f>
        <v>按净销量182及包装规格，建议从2026进货288降至144；该货号整体退货率≥20%，谨慎减量</v>
      </c>
      <c r="O110" s="63" t="s">
        <v>116</v>
      </c>
    </row>
    <row r="111" ht="42" customHeight="1" spans="1:15">
      <c r="A111" s="58" t="s">
        <v>115</v>
      </c>
      <c r="B111" s="59" t="s">
        <v>25</v>
      </c>
      <c r="C111" s="60" t="s">
        <v>26</v>
      </c>
      <c r="D111" s="59" t="s">
        <v>23</v>
      </c>
      <c r="E111" s="61">
        <f>'2026进货数量'!C26</f>
        <v>288</v>
      </c>
      <c r="F111" s="61">
        <f>'2026净销售数量'!C26</f>
        <v>204</v>
      </c>
      <c r="G111" s="61">
        <v>0</v>
      </c>
      <c r="H111" s="61">
        <v>204</v>
      </c>
      <c r="I111" s="61">
        <v>0</v>
      </c>
      <c r="J111" s="61">
        <f>'2026供应商退货'!C26</f>
        <v>0</v>
      </c>
      <c r="K111" s="61">
        <f>'2027建议订货量'!C26</f>
        <v>144</v>
      </c>
      <c r="L111" s="61">
        <f t="shared" si="1"/>
        <v>-144</v>
      </c>
      <c r="M111" s="62"/>
      <c r="N111" s="60" t="str">
        <f>建议原因!C26</f>
        <v>按净销量204及包装规格，建议从2026进货288降至144</v>
      </c>
      <c r="O111" s="63" t="s">
        <v>117</v>
      </c>
    </row>
    <row r="112" ht="42" customHeight="1" spans="1:15">
      <c r="A112" s="58" t="s">
        <v>115</v>
      </c>
      <c r="B112" s="59" t="s">
        <v>28</v>
      </c>
      <c r="C112" s="60" t="s">
        <v>29</v>
      </c>
      <c r="D112" s="59" t="s">
        <v>30</v>
      </c>
      <c r="E112" s="61">
        <f>'2026进货数量'!D26</f>
        <v>288</v>
      </c>
      <c r="F112" s="61">
        <f>'2026净销售数量'!D26</f>
        <v>103</v>
      </c>
      <c r="G112" s="61">
        <v>0</v>
      </c>
      <c r="H112" s="61">
        <v>0</v>
      </c>
      <c r="I112" s="61">
        <v>103</v>
      </c>
      <c r="J112" s="61">
        <f>'2026供应商退货'!D26</f>
        <v>0</v>
      </c>
      <c r="K112" s="61">
        <f>'2027建议订货量'!D26</f>
        <v>144</v>
      </c>
      <c r="L112" s="61">
        <f t="shared" si="1"/>
        <v>-144</v>
      </c>
      <c r="M112" s="62">
        <v>144</v>
      </c>
      <c r="N112" s="60" t="str">
        <f>建议原因!D26</f>
        <v>按净销量103及包装规格，建议从2026进货288降至144；该货号整体退货率≥20%，谨慎减量</v>
      </c>
      <c r="O112" s="63" t="s">
        <v>118</v>
      </c>
    </row>
    <row r="113" ht="42" customHeight="1" spans="1:15">
      <c r="A113" s="58" t="s">
        <v>115</v>
      </c>
      <c r="B113" s="59" t="s">
        <v>32</v>
      </c>
      <c r="C113" s="60" t="s">
        <v>33</v>
      </c>
      <c r="D113" s="59" t="s">
        <v>34</v>
      </c>
      <c r="E113" s="61">
        <f>'2026进货数量'!E26</f>
        <v>0</v>
      </c>
      <c r="F113" s="61">
        <f>'2026净销售数量'!E26</f>
        <v>0</v>
      </c>
      <c r="G113" s="61">
        <v>0</v>
      </c>
      <c r="H113" s="61">
        <v>0</v>
      </c>
      <c r="I113" s="61">
        <v>0</v>
      </c>
      <c r="J113" s="61">
        <f>'2026供应商退货'!E26</f>
        <v>0</v>
      </c>
      <c r="K113" s="61">
        <f>'2027建议订货量'!E26</f>
        <v>0</v>
      </c>
      <c r="L113" s="61">
        <f t="shared" si="1"/>
        <v>0</v>
      </c>
      <c r="M113" s="62"/>
      <c r="N113" s="60" t="str">
        <f>建议原因!E26</f>
        <v>无净销量，建议0；先查现存库存及扫码映射</v>
      </c>
      <c r="O113" s="63" t="s">
        <v>35</v>
      </c>
    </row>
    <row r="114" ht="42" customHeight="1" spans="1:15">
      <c r="A114" s="58" t="s">
        <v>115</v>
      </c>
      <c r="B114" s="64" t="s">
        <v>36</v>
      </c>
      <c r="C114" s="65" t="s">
        <v>37</v>
      </c>
      <c r="D114" s="64" t="s">
        <v>38</v>
      </c>
      <c r="E114" s="66">
        <f>'2026进货数量'!F26</f>
        <v>0</v>
      </c>
      <c r="F114" s="66">
        <f>'2026净销售数量'!F26</f>
        <v>0</v>
      </c>
      <c r="G114" s="66">
        <v>0</v>
      </c>
      <c r="H114" s="66">
        <v>0</v>
      </c>
      <c r="I114" s="66">
        <v>0</v>
      </c>
      <c r="J114" s="66">
        <f>'2026供应商退货'!F26</f>
        <v>0</v>
      </c>
      <c r="K114" s="66">
        <f>'2027建议订货量'!F26</f>
        <v>0</v>
      </c>
      <c r="L114" s="66">
        <f t="shared" si="1"/>
        <v>0</v>
      </c>
      <c r="M114" s="67"/>
      <c r="N114" s="65" t="str">
        <f>建议原因!F26</f>
        <v>无净销量，建议0；先查现存库存及扫码映射</v>
      </c>
      <c r="O114" s="68" t="s">
        <v>35</v>
      </c>
    </row>
    <row r="115" ht="42" customHeight="1" spans="1:15">
      <c r="A115" s="47" t="s">
        <v>119</v>
      </c>
      <c r="B115" s="48" t="s">
        <v>21</v>
      </c>
      <c r="C115" s="49" t="s">
        <v>22</v>
      </c>
      <c r="D115" s="48" t="s">
        <v>23</v>
      </c>
      <c r="E115" s="50">
        <f>'2026进货数量'!B27</f>
        <v>0</v>
      </c>
      <c r="F115" s="50">
        <f>'2026净销售数量'!B27</f>
        <v>0</v>
      </c>
      <c r="G115" s="50">
        <v>0</v>
      </c>
      <c r="H115" s="50">
        <v>0</v>
      </c>
      <c r="I115" s="50">
        <v>0</v>
      </c>
      <c r="J115" s="50">
        <f>'2026供应商退货'!B27</f>
        <v>0</v>
      </c>
      <c r="K115" s="50">
        <f>'2027建议订货量'!B27</f>
        <v>0</v>
      </c>
      <c r="L115" s="50">
        <f t="shared" si="1"/>
        <v>0</v>
      </c>
      <c r="M115" s="51">
        <v>144</v>
      </c>
      <c r="N115" s="49" t="str">
        <f>建议原因!B27</f>
        <v>无净销量，建议0；先查现存库存及扫码映射；该货号整体退货率≥20%，谨慎减量</v>
      </c>
      <c r="O115" s="52" t="s">
        <v>35</v>
      </c>
    </row>
    <row r="116" ht="42" customHeight="1" spans="1:15">
      <c r="A116" s="47" t="s">
        <v>119</v>
      </c>
      <c r="B116" s="48" t="s">
        <v>25</v>
      </c>
      <c r="C116" s="49" t="s">
        <v>26</v>
      </c>
      <c r="D116" s="48" t="s">
        <v>23</v>
      </c>
      <c r="E116" s="50">
        <f>'2026进货数量'!C27</f>
        <v>288</v>
      </c>
      <c r="F116" s="50">
        <f>'2026净销售数量'!C27</f>
        <v>107</v>
      </c>
      <c r="G116" s="50">
        <v>0</v>
      </c>
      <c r="H116" s="50">
        <v>107</v>
      </c>
      <c r="I116" s="50">
        <v>0</v>
      </c>
      <c r="J116" s="50">
        <f>'2026供应商退货'!C27</f>
        <v>0</v>
      </c>
      <c r="K116" s="50">
        <f>'2027建议订货量'!C27</f>
        <v>144</v>
      </c>
      <c r="L116" s="50">
        <f t="shared" si="1"/>
        <v>-144</v>
      </c>
      <c r="M116" s="51"/>
      <c r="N116" s="49" t="str">
        <f>建议原因!C27</f>
        <v>按净销量107及包装规格，建议从2026进货288降至144</v>
      </c>
      <c r="O116" s="52" t="s">
        <v>120</v>
      </c>
    </row>
    <row r="117" ht="42" customHeight="1" spans="1:15">
      <c r="A117" s="47" t="s">
        <v>119</v>
      </c>
      <c r="B117" s="48" t="s">
        <v>28</v>
      </c>
      <c r="C117" s="49" t="s">
        <v>29</v>
      </c>
      <c r="D117" s="48" t="s">
        <v>30</v>
      </c>
      <c r="E117" s="50">
        <f>'2026进货数量'!D27</f>
        <v>288</v>
      </c>
      <c r="F117" s="50">
        <f>'2026净销售数量'!D27</f>
        <v>52</v>
      </c>
      <c r="G117" s="50">
        <v>0</v>
      </c>
      <c r="H117" s="50">
        <v>0</v>
      </c>
      <c r="I117" s="50">
        <v>52</v>
      </c>
      <c r="J117" s="50">
        <f>'2026供应商退货'!D27</f>
        <v>0</v>
      </c>
      <c r="K117" s="50">
        <f>'2027建议订货量'!D27</f>
        <v>0</v>
      </c>
      <c r="L117" s="50">
        <f t="shared" si="1"/>
        <v>-288</v>
      </c>
      <c r="M117" s="51"/>
      <c r="N117" s="49" t="str">
        <f>建议原因!D27</f>
        <v>净销量52，不足半套72；建议0，由中央库存补货；该货号整体退货率≥20%，谨慎减量</v>
      </c>
      <c r="O117" s="52" t="s">
        <v>121</v>
      </c>
    </row>
    <row r="118" ht="42" customHeight="1" spans="1:15">
      <c r="A118" s="47" t="s">
        <v>119</v>
      </c>
      <c r="B118" s="48" t="s">
        <v>32</v>
      </c>
      <c r="C118" s="49" t="s">
        <v>33</v>
      </c>
      <c r="D118" s="48" t="s">
        <v>34</v>
      </c>
      <c r="E118" s="50">
        <f>'2026进货数量'!E27</f>
        <v>0</v>
      </c>
      <c r="F118" s="50">
        <f>'2026净销售数量'!E27</f>
        <v>0</v>
      </c>
      <c r="G118" s="50">
        <v>0</v>
      </c>
      <c r="H118" s="50">
        <v>0</v>
      </c>
      <c r="I118" s="50">
        <v>0</v>
      </c>
      <c r="J118" s="50">
        <f>'2026供应商退货'!E27</f>
        <v>0</v>
      </c>
      <c r="K118" s="50">
        <f>'2027建议订货量'!E27</f>
        <v>0</v>
      </c>
      <c r="L118" s="50">
        <f t="shared" si="1"/>
        <v>0</v>
      </c>
      <c r="M118" s="51"/>
      <c r="N118" s="49" t="str">
        <f>建议原因!E27</f>
        <v>无净销量，建议0；先查现存库存及扫码映射</v>
      </c>
      <c r="O118" s="52" t="s">
        <v>35</v>
      </c>
    </row>
    <row r="119" ht="42" customHeight="1" spans="1:15">
      <c r="A119" s="47" t="s">
        <v>119</v>
      </c>
      <c r="B119" s="53" t="s">
        <v>36</v>
      </c>
      <c r="C119" s="54" t="s">
        <v>37</v>
      </c>
      <c r="D119" s="53" t="s">
        <v>38</v>
      </c>
      <c r="E119" s="55">
        <f>'2026进货数量'!F27</f>
        <v>0</v>
      </c>
      <c r="F119" s="55">
        <f>'2026净销售数量'!F27</f>
        <v>0</v>
      </c>
      <c r="G119" s="55">
        <v>0</v>
      </c>
      <c r="H119" s="55">
        <v>0</v>
      </c>
      <c r="I119" s="55">
        <v>0</v>
      </c>
      <c r="J119" s="55">
        <f>'2026供应商退货'!F27</f>
        <v>0</v>
      </c>
      <c r="K119" s="55">
        <f>'2027建议订货量'!F27</f>
        <v>0</v>
      </c>
      <c r="L119" s="55">
        <f t="shared" si="1"/>
        <v>0</v>
      </c>
      <c r="M119" s="56"/>
      <c r="N119" s="54" t="str">
        <f>建议原因!F27</f>
        <v>无净销量，建议0；先查现存库存及扫码映射</v>
      </c>
      <c r="O119" s="57" t="s">
        <v>35</v>
      </c>
    </row>
    <row r="120" ht="42" customHeight="1" spans="1:15">
      <c r="A120" s="58" t="s">
        <v>122</v>
      </c>
      <c r="B120" s="59" t="s">
        <v>21</v>
      </c>
      <c r="C120" s="60" t="s">
        <v>22</v>
      </c>
      <c r="D120" s="59" t="s">
        <v>23</v>
      </c>
      <c r="E120" s="61">
        <f>'2026进货数量'!B28</f>
        <v>288</v>
      </c>
      <c r="F120" s="61">
        <f>'2026净销售数量'!B28</f>
        <v>267</v>
      </c>
      <c r="G120" s="61">
        <v>0</v>
      </c>
      <c r="H120" s="61">
        <v>267</v>
      </c>
      <c r="I120" s="61">
        <v>0</v>
      </c>
      <c r="J120" s="61">
        <f>'2026供应商退货'!B28</f>
        <v>9</v>
      </c>
      <c r="K120" s="61">
        <f>'2027建议订货量'!B28</f>
        <v>288</v>
      </c>
      <c r="L120" s="61">
        <f t="shared" si="1"/>
        <v>0</v>
      </c>
      <c r="M120" s="62">
        <v>576</v>
      </c>
      <c r="N120" s="60" t="str">
        <f>建议原因!B28</f>
        <v>净销量267支持维持2026进货量；建议288；2026退供应商9张（视为季后库存）；该货号整体退货率≥20%，谨慎减量</v>
      </c>
      <c r="O120" s="63" t="s">
        <v>123</v>
      </c>
    </row>
    <row r="121" ht="42" customHeight="1" spans="1:15">
      <c r="A121" s="58" t="s">
        <v>122</v>
      </c>
      <c r="B121" s="59" t="s">
        <v>25</v>
      </c>
      <c r="C121" s="60" t="s">
        <v>26</v>
      </c>
      <c r="D121" s="59" t="s">
        <v>23</v>
      </c>
      <c r="E121" s="61">
        <f>'2026进货数量'!C28</f>
        <v>0</v>
      </c>
      <c r="F121" s="61">
        <f>'2026净销售数量'!C28</f>
        <v>0</v>
      </c>
      <c r="G121" s="61">
        <v>0</v>
      </c>
      <c r="H121" s="61">
        <v>0</v>
      </c>
      <c r="I121" s="61">
        <v>0</v>
      </c>
      <c r="J121" s="61">
        <f>'2026供应商退货'!C28</f>
        <v>0</v>
      </c>
      <c r="K121" s="61">
        <f>'2027建议订货量'!C28</f>
        <v>0</v>
      </c>
      <c r="L121" s="61">
        <f t="shared" si="1"/>
        <v>0</v>
      </c>
      <c r="M121" s="62"/>
      <c r="N121" s="60" t="str">
        <f>建议原因!C28</f>
        <v>无净销量，建议0；先查现存库存及扫码映射</v>
      </c>
      <c r="O121" s="63" t="s">
        <v>35</v>
      </c>
    </row>
    <row r="122" ht="42" customHeight="1" spans="1:15">
      <c r="A122" s="58" t="s">
        <v>122</v>
      </c>
      <c r="B122" s="59" t="s">
        <v>28</v>
      </c>
      <c r="C122" s="60" t="s">
        <v>29</v>
      </c>
      <c r="D122" s="59" t="s">
        <v>30</v>
      </c>
      <c r="E122" s="61">
        <f>'2026进货数量'!D28</f>
        <v>288</v>
      </c>
      <c r="F122" s="61">
        <f>'2026净销售数量'!D28</f>
        <v>258</v>
      </c>
      <c r="G122" s="61">
        <v>0</v>
      </c>
      <c r="H122" s="61">
        <v>0</v>
      </c>
      <c r="I122" s="61">
        <v>258</v>
      </c>
      <c r="J122" s="61">
        <f>'2026供应商退货'!D28</f>
        <v>0</v>
      </c>
      <c r="K122" s="61">
        <f>'2027建议订货量'!D28</f>
        <v>288</v>
      </c>
      <c r="L122" s="61">
        <f t="shared" si="1"/>
        <v>0</v>
      </c>
      <c r="M122" s="62">
        <f>144*4</f>
        <v>576</v>
      </c>
      <c r="N122" s="60" t="str">
        <f>建议原因!D28</f>
        <v>净销量258支持维持2026进货量；建议288；该货号整体退货率≥20%，谨慎减量</v>
      </c>
      <c r="O122" s="63" t="s">
        <v>124</v>
      </c>
    </row>
    <row r="123" ht="42" customHeight="1" spans="1:15">
      <c r="A123" s="58" t="s">
        <v>122</v>
      </c>
      <c r="B123" s="59" t="s">
        <v>32</v>
      </c>
      <c r="C123" s="60" t="s">
        <v>33</v>
      </c>
      <c r="D123" s="59" t="s">
        <v>34</v>
      </c>
      <c r="E123" s="61">
        <f>'2026进货数量'!E28</f>
        <v>0</v>
      </c>
      <c r="F123" s="61">
        <f>'2026净销售数量'!E28</f>
        <v>0</v>
      </c>
      <c r="G123" s="61">
        <v>0</v>
      </c>
      <c r="H123" s="61">
        <v>0</v>
      </c>
      <c r="I123" s="61">
        <v>0</v>
      </c>
      <c r="J123" s="61">
        <f>'2026供应商退货'!E28</f>
        <v>0</v>
      </c>
      <c r="K123" s="61">
        <f>'2027建议订货量'!E28</f>
        <v>0</v>
      </c>
      <c r="L123" s="61">
        <f t="shared" si="1"/>
        <v>0</v>
      </c>
      <c r="M123" s="62"/>
      <c r="N123" s="60" t="str">
        <f>建议原因!E28</f>
        <v>无净销量，建议0；先查现存库存及扫码映射</v>
      </c>
      <c r="O123" s="63" t="s">
        <v>35</v>
      </c>
    </row>
    <row r="124" ht="42" customHeight="1" spans="1:15">
      <c r="A124" s="58" t="s">
        <v>122</v>
      </c>
      <c r="B124" s="64" t="s">
        <v>36</v>
      </c>
      <c r="C124" s="65" t="s">
        <v>37</v>
      </c>
      <c r="D124" s="64" t="s">
        <v>38</v>
      </c>
      <c r="E124" s="66">
        <f>'2026进货数量'!F28</f>
        <v>0</v>
      </c>
      <c r="F124" s="66">
        <f>'2026净销售数量'!F28</f>
        <v>0</v>
      </c>
      <c r="G124" s="66">
        <v>0</v>
      </c>
      <c r="H124" s="66">
        <v>0</v>
      </c>
      <c r="I124" s="66">
        <v>0</v>
      </c>
      <c r="J124" s="66">
        <f>'2026供应商退货'!F28</f>
        <v>0</v>
      </c>
      <c r="K124" s="66">
        <f>'2027建议订货量'!F28</f>
        <v>0</v>
      </c>
      <c r="L124" s="66">
        <f t="shared" si="1"/>
        <v>0</v>
      </c>
      <c r="M124" s="67"/>
      <c r="N124" s="65" t="str">
        <f>建议原因!F28</f>
        <v>无净销量，建议0；先查现存库存及扫码映射</v>
      </c>
      <c r="O124" s="68" t="s">
        <v>35</v>
      </c>
    </row>
    <row r="125" ht="42" customHeight="1" spans="1:15">
      <c r="A125" s="47" t="s">
        <v>125</v>
      </c>
      <c r="B125" s="48" t="s">
        <v>21</v>
      </c>
      <c r="C125" s="49" t="s">
        <v>22</v>
      </c>
      <c r="D125" s="48" t="s">
        <v>23</v>
      </c>
      <c r="E125" s="50">
        <f>'2026进货数量'!B29</f>
        <v>144</v>
      </c>
      <c r="F125" s="50">
        <f>'2026净销售数量'!B29</f>
        <v>0</v>
      </c>
      <c r="G125" s="50">
        <v>0</v>
      </c>
      <c r="H125" s="50">
        <v>0</v>
      </c>
      <c r="I125" s="50">
        <v>0</v>
      </c>
      <c r="J125" s="50">
        <f>'2026供应商退货'!B29</f>
        <v>0</v>
      </c>
      <c r="K125" s="50"/>
      <c r="L125" s="50"/>
      <c r="M125" s="51"/>
      <c r="N125" s="49"/>
      <c r="O125" s="52" t="s">
        <v>35</v>
      </c>
    </row>
    <row r="126" ht="42" customHeight="1" spans="1:15">
      <c r="A126" s="47" t="s">
        <v>125</v>
      </c>
      <c r="B126" s="48" t="s">
        <v>25</v>
      </c>
      <c r="C126" s="49" t="s">
        <v>26</v>
      </c>
      <c r="D126" s="48" t="s">
        <v>23</v>
      </c>
      <c r="E126" s="50">
        <f>'2026进货数量'!C29</f>
        <v>0</v>
      </c>
      <c r="F126" s="50">
        <f>'2026净销售数量'!C29</f>
        <v>0</v>
      </c>
      <c r="G126" s="50">
        <v>0</v>
      </c>
      <c r="H126" s="50">
        <v>0</v>
      </c>
      <c r="I126" s="50">
        <v>0</v>
      </c>
      <c r="J126" s="50">
        <f>'2026供应商退货'!C29</f>
        <v>0</v>
      </c>
      <c r="K126" s="50"/>
      <c r="L126" s="50"/>
      <c r="M126" s="51"/>
      <c r="N126" s="49"/>
      <c r="O126" s="52" t="s">
        <v>35</v>
      </c>
    </row>
    <row r="127" ht="42" customHeight="1" spans="1:15">
      <c r="A127" s="47" t="s">
        <v>125</v>
      </c>
      <c r="B127" s="48" t="s">
        <v>28</v>
      </c>
      <c r="C127" s="49" t="s">
        <v>29</v>
      </c>
      <c r="D127" s="48" t="s">
        <v>30</v>
      </c>
      <c r="E127" s="50">
        <f>'2026进货数量'!D29</f>
        <v>288</v>
      </c>
      <c r="F127" s="50">
        <f>'2026净销售数量'!D29</f>
        <v>0</v>
      </c>
      <c r="G127" s="50">
        <v>0</v>
      </c>
      <c r="H127" s="50">
        <v>0</v>
      </c>
      <c r="I127" s="50">
        <v>0</v>
      </c>
      <c r="J127" s="50">
        <f>'2026供应商退货'!D29</f>
        <v>0</v>
      </c>
      <c r="K127" s="50"/>
      <c r="L127" s="50"/>
      <c r="M127" s="51"/>
      <c r="N127" s="49"/>
      <c r="O127" s="52" t="s">
        <v>35</v>
      </c>
    </row>
    <row r="128" ht="42" customHeight="1" spans="1:15">
      <c r="A128" s="47" t="s">
        <v>125</v>
      </c>
      <c r="B128" s="48" t="s">
        <v>32</v>
      </c>
      <c r="C128" s="49" t="s">
        <v>33</v>
      </c>
      <c r="D128" s="48" t="s">
        <v>34</v>
      </c>
      <c r="E128" s="50">
        <f>'2026进货数量'!E29</f>
        <v>0</v>
      </c>
      <c r="F128" s="50">
        <f>'2026净销售数量'!E29</f>
        <v>0</v>
      </c>
      <c r="G128" s="50">
        <v>0</v>
      </c>
      <c r="H128" s="50">
        <v>0</v>
      </c>
      <c r="I128" s="50">
        <v>0</v>
      </c>
      <c r="J128" s="50">
        <f>'2026供应商退货'!E29</f>
        <v>0</v>
      </c>
      <c r="K128" s="50"/>
      <c r="L128" s="50"/>
      <c r="M128" s="51"/>
      <c r="N128" s="49"/>
      <c r="O128" s="52" t="s">
        <v>35</v>
      </c>
    </row>
    <row r="129" ht="42" customHeight="1" spans="1:15">
      <c r="A129" s="47" t="s">
        <v>125</v>
      </c>
      <c r="B129" s="53" t="s">
        <v>36</v>
      </c>
      <c r="C129" s="54" t="s">
        <v>37</v>
      </c>
      <c r="D129" s="53" t="s">
        <v>38</v>
      </c>
      <c r="E129" s="55">
        <f>'2026进货数量'!F29</f>
        <v>0</v>
      </c>
      <c r="F129" s="55">
        <f>'2026净销售数量'!F29</f>
        <v>0</v>
      </c>
      <c r="G129" s="55">
        <v>0</v>
      </c>
      <c r="H129" s="55">
        <v>0</v>
      </c>
      <c r="I129" s="55">
        <v>0</v>
      </c>
      <c r="J129" s="55">
        <f>'2026供应商退货'!F29</f>
        <v>0</v>
      </c>
      <c r="K129" s="55"/>
      <c r="L129" s="55"/>
      <c r="M129" s="56"/>
      <c r="N129" s="54"/>
      <c r="O129" s="57" t="s">
        <v>35</v>
      </c>
    </row>
    <row r="130" ht="42" customHeight="1" spans="1:15">
      <c r="A130" s="58" t="s">
        <v>126</v>
      </c>
      <c r="B130" s="59" t="s">
        <v>21</v>
      </c>
      <c r="C130" s="60" t="s">
        <v>22</v>
      </c>
      <c r="D130" s="59" t="s">
        <v>23</v>
      </c>
      <c r="E130" s="61">
        <f>'2026进货数量'!B30</f>
        <v>0</v>
      </c>
      <c r="F130" s="61">
        <f>'2026净销售数量'!B30</f>
        <v>0</v>
      </c>
      <c r="G130" s="61">
        <v>0</v>
      </c>
      <c r="H130" s="61">
        <v>0</v>
      </c>
      <c r="I130" s="61">
        <v>0</v>
      </c>
      <c r="J130" s="61">
        <f>'2026供应商退货'!B30</f>
        <v>0</v>
      </c>
      <c r="K130" s="61"/>
      <c r="L130" s="61"/>
      <c r="M130" s="62"/>
      <c r="N130" s="60"/>
      <c r="O130" s="63" t="s">
        <v>35</v>
      </c>
    </row>
    <row r="131" ht="42" customHeight="1" spans="1:15">
      <c r="A131" s="58" t="s">
        <v>126</v>
      </c>
      <c r="B131" s="59" t="s">
        <v>25</v>
      </c>
      <c r="C131" s="60" t="s">
        <v>26</v>
      </c>
      <c r="D131" s="59" t="s">
        <v>23</v>
      </c>
      <c r="E131" s="61">
        <f>'2026进货数量'!C30</f>
        <v>288</v>
      </c>
      <c r="F131" s="61">
        <f>'2026净销售数量'!C30</f>
        <v>0</v>
      </c>
      <c r="G131" s="61">
        <v>0</v>
      </c>
      <c r="H131" s="61">
        <v>0</v>
      </c>
      <c r="I131" s="61">
        <v>0</v>
      </c>
      <c r="J131" s="61">
        <f>'2026供应商退货'!C30</f>
        <v>0</v>
      </c>
      <c r="K131" s="61"/>
      <c r="L131" s="61"/>
      <c r="M131" s="62"/>
      <c r="N131" s="60"/>
      <c r="O131" s="63" t="s">
        <v>35</v>
      </c>
    </row>
    <row r="132" ht="42" customHeight="1" spans="1:15">
      <c r="A132" s="58" t="s">
        <v>126</v>
      </c>
      <c r="B132" s="59" t="s">
        <v>28</v>
      </c>
      <c r="C132" s="60" t="s">
        <v>29</v>
      </c>
      <c r="D132" s="59" t="s">
        <v>30</v>
      </c>
      <c r="E132" s="61">
        <f>'2026进货数量'!D30</f>
        <v>0</v>
      </c>
      <c r="F132" s="61">
        <f>'2026净销售数量'!D30</f>
        <v>0</v>
      </c>
      <c r="G132" s="61">
        <v>0</v>
      </c>
      <c r="H132" s="61">
        <v>0</v>
      </c>
      <c r="I132" s="61">
        <v>0</v>
      </c>
      <c r="J132" s="61">
        <f>'2026供应商退货'!D30</f>
        <v>0</v>
      </c>
      <c r="K132" s="61"/>
      <c r="L132" s="61"/>
      <c r="M132" s="62"/>
      <c r="N132" s="60"/>
      <c r="O132" s="63" t="s">
        <v>35</v>
      </c>
    </row>
    <row r="133" ht="42" customHeight="1" spans="1:15">
      <c r="A133" s="58" t="s">
        <v>126</v>
      </c>
      <c r="B133" s="59" t="s">
        <v>32</v>
      </c>
      <c r="C133" s="60" t="s">
        <v>33</v>
      </c>
      <c r="D133" s="59" t="s">
        <v>34</v>
      </c>
      <c r="E133" s="61">
        <f>'2026进货数量'!E30</f>
        <v>300</v>
      </c>
      <c r="F133" s="61">
        <f>'2026净销售数量'!E30</f>
        <v>0</v>
      </c>
      <c r="G133" s="61">
        <v>0</v>
      </c>
      <c r="H133" s="61">
        <v>0</v>
      </c>
      <c r="I133" s="61">
        <v>0</v>
      </c>
      <c r="J133" s="61">
        <f>'2026供应商退货'!E30</f>
        <v>0</v>
      </c>
      <c r="K133" s="61"/>
      <c r="L133" s="61"/>
      <c r="M133" s="62"/>
      <c r="N133" s="60"/>
      <c r="O133" s="63" t="s">
        <v>35</v>
      </c>
    </row>
    <row r="134" ht="42" customHeight="1" spans="1:15">
      <c r="A134" s="58" t="s">
        <v>126</v>
      </c>
      <c r="B134" s="64" t="s">
        <v>36</v>
      </c>
      <c r="C134" s="65" t="s">
        <v>37</v>
      </c>
      <c r="D134" s="64" t="s">
        <v>38</v>
      </c>
      <c r="E134" s="66">
        <f>'2026进货数量'!F30</f>
        <v>0</v>
      </c>
      <c r="F134" s="66">
        <f>'2026净销售数量'!F30</f>
        <v>0</v>
      </c>
      <c r="G134" s="66">
        <v>0</v>
      </c>
      <c r="H134" s="66">
        <v>0</v>
      </c>
      <c r="I134" s="66">
        <v>0</v>
      </c>
      <c r="J134" s="66">
        <f>'2026供应商退货'!F30</f>
        <v>0</v>
      </c>
      <c r="K134" s="66"/>
      <c r="L134" s="66"/>
      <c r="M134" s="67"/>
      <c r="N134" s="65"/>
      <c r="O134" s="68" t="s">
        <v>35</v>
      </c>
    </row>
  </sheetData>
  <mergeCells count="29">
    <mergeCell ref="A1:O1"/>
    <mergeCell ref="A2:O2"/>
    <mergeCell ref="A3:D3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4"/>
  </mergeCells>
  <conditionalFormatting sqref="G5:G134">
    <cfRule type="colorScale" priority="2">
      <colorScale>
        <cfvo type="min"/>
        <cfvo type="percentile" val="50"/>
        <cfvo type="max"/>
        <color rgb="FFFFFFFF"/>
        <color rgb="FFFFF2CC"/>
        <color rgb="FFBF9000"/>
      </colorScale>
    </cfRule>
  </conditionalFormatting>
  <conditionalFormatting sqref="H5:H134">
    <cfRule type="colorScale" priority="3">
      <colorScale>
        <cfvo type="min"/>
        <cfvo type="percentile" val="50"/>
        <cfvo type="max"/>
        <color rgb="FFFFFFFF"/>
        <color rgb="FFD9EAF7"/>
        <color rgb="FF4F81BD"/>
      </colorScale>
    </cfRule>
  </conditionalFormatting>
  <conditionalFormatting sqref="I5:I134">
    <cfRule type="colorScale" priority="4">
      <colorScale>
        <cfvo type="min"/>
        <cfvo type="percentile" val="50"/>
        <cfvo type="max"/>
        <color rgb="FFFFFFFF"/>
        <color rgb="FFE4DFEC"/>
        <color rgb="FF7030A0"/>
      </colorScale>
    </cfRule>
  </conditionalFormatting>
  <conditionalFormatting sqref="J5:J134">
    <cfRule type="cellIs" dxfId="0" priority="1" operator="greaterThan">
      <formula>0</formula>
    </cfRule>
  </conditionalFormatting>
  <conditionalFormatting sqref="K5:K134">
    <cfRule type="colorScale" priority="5">
      <colorScale>
        <cfvo type="min"/>
        <cfvo type="percentile" val="50"/>
        <cfvo type="max"/>
        <color rgb="FFFFFFFF"/>
        <color rgb="FFE2F0D9"/>
        <color rgb="FF548235"/>
      </colorScale>
    </cfRule>
  </conditionalFormatting>
  <conditionalFormatting sqref="L5:M134">
    <cfRule type="cellIs" dxfId="1" priority="6" operator="lessThan">
      <formula>0</formula>
    </cfRule>
    <cfRule type="cellIs" dxfId="2" priority="7" operator="greaterThan">
      <formula>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"/>
  <sheetViews>
    <sheetView workbookViewId="0">
      <selection activeCell="B45" sqref="B45:B46"/>
    </sheetView>
  </sheetViews>
  <sheetFormatPr defaultColWidth="9" defaultRowHeight="15.2"/>
  <cols>
    <col min="1" max="1" width="20.7142857142857" customWidth="1"/>
    <col min="2" max="2" width="16.7142857142857" customWidth="1"/>
    <col min="3" max="3" width="43" customWidth="1"/>
    <col min="4" max="4" width="14.2857142857143" customWidth="1"/>
    <col min="5" max="5" width="45.7142857142857" customWidth="1"/>
    <col min="6" max="6" width="21.8571428571429" customWidth="1"/>
    <col min="7" max="7" width="24.8571428571429" customWidth="1"/>
    <col min="8" max="8" width="20.7142857142857" customWidth="1"/>
    <col min="9" max="9" width="23.7142857142857" customWidth="1"/>
  </cols>
  <sheetData>
    <row r="1" spans="1:9">
      <c r="A1" s="32" t="s">
        <v>127</v>
      </c>
      <c r="B1" s="32" t="s">
        <v>128</v>
      </c>
      <c r="C1" s="32" t="s">
        <v>129</v>
      </c>
      <c r="D1" s="32" t="s">
        <v>130</v>
      </c>
      <c r="E1" s="32" t="s">
        <v>131</v>
      </c>
      <c r="F1" s="34" t="s">
        <v>132</v>
      </c>
      <c r="G1" s="34" t="s">
        <v>133</v>
      </c>
      <c r="H1" s="34" t="s">
        <v>134</v>
      </c>
      <c r="I1" s="34" t="s">
        <v>135</v>
      </c>
    </row>
    <row r="2" spans="1:9">
      <c r="A2" t="s">
        <v>136</v>
      </c>
      <c r="B2" t="s">
        <v>137</v>
      </c>
      <c r="C2" t="s">
        <v>138</v>
      </c>
      <c r="D2" t="s">
        <v>28</v>
      </c>
      <c r="E2" t="s">
        <v>29</v>
      </c>
      <c r="F2" s="35">
        <v>345.62</v>
      </c>
      <c r="G2" s="36">
        <v>288</v>
      </c>
      <c r="H2" s="35">
        <v>0</v>
      </c>
      <c r="I2" s="36">
        <v>0</v>
      </c>
    </row>
    <row r="3" spans="1:9">
      <c r="A3" t="s">
        <v>136</v>
      </c>
      <c r="B3" t="s">
        <v>137</v>
      </c>
      <c r="C3" t="s">
        <v>138</v>
      </c>
      <c r="D3" t="s">
        <v>21</v>
      </c>
      <c r="E3" t="s">
        <v>22</v>
      </c>
      <c r="F3" s="35">
        <v>262.08</v>
      </c>
      <c r="G3" s="36">
        <v>288</v>
      </c>
      <c r="H3" s="35">
        <v>0</v>
      </c>
      <c r="I3" s="36">
        <v>0</v>
      </c>
    </row>
    <row r="4" spans="1:9">
      <c r="A4" t="s">
        <v>136</v>
      </c>
      <c r="B4" t="s">
        <v>137</v>
      </c>
      <c r="C4" t="s">
        <v>138</v>
      </c>
      <c r="D4" t="s">
        <v>32</v>
      </c>
      <c r="E4" t="s">
        <v>33</v>
      </c>
      <c r="F4" s="35">
        <v>120</v>
      </c>
      <c r="G4" s="36">
        <v>300</v>
      </c>
      <c r="H4" s="35">
        <v>0</v>
      </c>
      <c r="I4" s="36">
        <v>0</v>
      </c>
    </row>
    <row r="5" spans="1:9">
      <c r="A5" t="s">
        <v>136</v>
      </c>
      <c r="B5" t="s">
        <v>137</v>
      </c>
      <c r="C5" t="s">
        <v>138</v>
      </c>
      <c r="D5" t="s">
        <v>36</v>
      </c>
      <c r="E5" t="s">
        <v>37</v>
      </c>
      <c r="F5" s="35">
        <v>120</v>
      </c>
      <c r="G5" s="36">
        <v>300</v>
      </c>
      <c r="H5" s="35">
        <v>0</v>
      </c>
      <c r="I5" s="36">
        <v>0</v>
      </c>
    </row>
    <row r="6" spans="1:9">
      <c r="A6" t="s">
        <v>136</v>
      </c>
      <c r="B6" t="s">
        <v>137</v>
      </c>
      <c r="C6" t="s">
        <v>138</v>
      </c>
      <c r="D6" t="s">
        <v>139</v>
      </c>
      <c r="E6" t="s">
        <v>140</v>
      </c>
      <c r="F6" s="35">
        <v>45.5</v>
      </c>
      <c r="G6" s="36">
        <v>50</v>
      </c>
      <c r="H6" s="35">
        <v>0</v>
      </c>
      <c r="I6" s="36">
        <v>0</v>
      </c>
    </row>
    <row r="7" spans="1:9">
      <c r="A7" t="s">
        <v>136</v>
      </c>
      <c r="B7" t="s">
        <v>137</v>
      </c>
      <c r="C7" t="s">
        <v>138</v>
      </c>
      <c r="D7" t="s">
        <v>141</v>
      </c>
      <c r="E7" t="s">
        <v>142</v>
      </c>
      <c r="F7" s="35">
        <v>28.8</v>
      </c>
      <c r="G7" s="36">
        <v>24</v>
      </c>
      <c r="H7" s="35">
        <v>0</v>
      </c>
      <c r="I7" s="36">
        <v>0</v>
      </c>
    </row>
    <row r="8" spans="1:9">
      <c r="A8" t="s">
        <v>136</v>
      </c>
      <c r="B8" t="s">
        <v>137</v>
      </c>
      <c r="C8" t="s">
        <v>138</v>
      </c>
      <c r="D8" t="s">
        <v>143</v>
      </c>
      <c r="E8" t="s">
        <v>144</v>
      </c>
      <c r="F8" s="35">
        <v>27.36</v>
      </c>
      <c r="G8" s="36">
        <v>24</v>
      </c>
      <c r="H8" s="35">
        <v>0</v>
      </c>
      <c r="I8" s="36">
        <v>0</v>
      </c>
    </row>
    <row r="9" spans="1:9">
      <c r="A9" t="s">
        <v>136</v>
      </c>
      <c r="B9" t="s">
        <v>137</v>
      </c>
      <c r="C9" t="s">
        <v>138</v>
      </c>
      <c r="D9" t="s">
        <v>145</v>
      </c>
      <c r="E9" t="s">
        <v>146</v>
      </c>
      <c r="F9" s="35">
        <v>21.84</v>
      </c>
      <c r="G9" s="36">
        <v>24</v>
      </c>
      <c r="H9" s="35">
        <v>0</v>
      </c>
      <c r="I9" s="36">
        <v>0</v>
      </c>
    </row>
    <row r="10" spans="1:9">
      <c r="A10" t="s">
        <v>136</v>
      </c>
      <c r="B10" t="s">
        <v>137</v>
      </c>
      <c r="C10" t="s">
        <v>138</v>
      </c>
      <c r="D10" t="s">
        <v>147</v>
      </c>
      <c r="E10" t="s">
        <v>148</v>
      </c>
      <c r="F10" s="35">
        <v>11.28</v>
      </c>
      <c r="G10" s="36">
        <v>24</v>
      </c>
      <c r="H10" s="35">
        <v>0</v>
      </c>
      <c r="I10" s="36">
        <v>0</v>
      </c>
    </row>
    <row r="11" spans="1:9">
      <c r="A11" t="s">
        <v>136</v>
      </c>
      <c r="B11" t="s">
        <v>137</v>
      </c>
      <c r="C11" t="s">
        <v>138</v>
      </c>
      <c r="D11" t="s">
        <v>149</v>
      </c>
      <c r="E11" t="s">
        <v>150</v>
      </c>
      <c r="F11" s="35">
        <v>8.16</v>
      </c>
      <c r="G11" s="36">
        <v>24</v>
      </c>
      <c r="H11" s="35">
        <v>0</v>
      </c>
      <c r="I11" s="36">
        <v>0</v>
      </c>
    </row>
    <row r="12" spans="1:9">
      <c r="A12" t="s">
        <v>136</v>
      </c>
      <c r="B12" t="s">
        <v>151</v>
      </c>
      <c r="C12" t="s">
        <v>152</v>
      </c>
      <c r="D12" t="s">
        <v>153</v>
      </c>
      <c r="E12" t="s">
        <v>154</v>
      </c>
      <c r="F12" s="35">
        <v>273</v>
      </c>
      <c r="G12" s="36">
        <v>150</v>
      </c>
      <c r="H12" s="35">
        <v>0</v>
      </c>
      <c r="I12" s="36">
        <v>0</v>
      </c>
    </row>
    <row r="13" spans="1:9">
      <c r="A13" t="s">
        <v>136</v>
      </c>
      <c r="B13" t="s">
        <v>151</v>
      </c>
      <c r="C13" t="s">
        <v>152</v>
      </c>
      <c r="D13" t="s">
        <v>36</v>
      </c>
      <c r="E13" t="s">
        <v>37</v>
      </c>
      <c r="F13" s="35">
        <v>120</v>
      </c>
      <c r="G13" s="36">
        <v>300</v>
      </c>
      <c r="H13" s="35">
        <v>0</v>
      </c>
      <c r="I13" s="36">
        <v>0</v>
      </c>
    </row>
    <row r="14" spans="1:9">
      <c r="A14" t="s">
        <v>136</v>
      </c>
      <c r="B14" t="s">
        <v>151</v>
      </c>
      <c r="C14" t="s">
        <v>152</v>
      </c>
      <c r="D14" t="s">
        <v>28</v>
      </c>
      <c r="E14" t="s">
        <v>29</v>
      </c>
      <c r="F14" s="35">
        <v>345.62</v>
      </c>
      <c r="G14" s="36">
        <v>288</v>
      </c>
      <c r="H14" s="35">
        <v>-246.01</v>
      </c>
      <c r="I14" s="36">
        <v>-205</v>
      </c>
    </row>
    <row r="15" spans="1:9">
      <c r="A15" t="s">
        <v>136</v>
      </c>
      <c r="B15" t="s">
        <v>151</v>
      </c>
      <c r="C15" t="s">
        <v>152</v>
      </c>
      <c r="D15" t="s">
        <v>139</v>
      </c>
      <c r="E15" t="s">
        <v>140</v>
      </c>
      <c r="F15" s="35">
        <v>91</v>
      </c>
      <c r="G15" s="36">
        <v>100</v>
      </c>
      <c r="H15" s="35">
        <v>0</v>
      </c>
      <c r="I15" s="36">
        <v>0</v>
      </c>
    </row>
    <row r="16" spans="1:9">
      <c r="A16" t="s">
        <v>136</v>
      </c>
      <c r="B16" t="s">
        <v>151</v>
      </c>
      <c r="C16" t="s">
        <v>152</v>
      </c>
      <c r="D16" t="s">
        <v>155</v>
      </c>
      <c r="E16" t="s">
        <v>156</v>
      </c>
      <c r="F16" s="35">
        <v>91</v>
      </c>
      <c r="G16" s="36">
        <v>100</v>
      </c>
      <c r="H16" s="35">
        <v>0</v>
      </c>
      <c r="I16" s="36">
        <v>0</v>
      </c>
    </row>
    <row r="17" spans="1:9">
      <c r="A17" t="s">
        <v>136</v>
      </c>
      <c r="B17" t="s">
        <v>151</v>
      </c>
      <c r="C17" t="s">
        <v>152</v>
      </c>
      <c r="D17" t="s">
        <v>141</v>
      </c>
      <c r="E17" t="s">
        <v>142</v>
      </c>
      <c r="F17" s="35">
        <v>86.4</v>
      </c>
      <c r="G17" s="36">
        <v>72</v>
      </c>
      <c r="H17" s="35">
        <v>0</v>
      </c>
      <c r="I17" s="36">
        <v>0</v>
      </c>
    </row>
    <row r="18" spans="1:9">
      <c r="A18" t="s">
        <v>136</v>
      </c>
      <c r="B18" t="s">
        <v>151</v>
      </c>
      <c r="C18" t="s">
        <v>152</v>
      </c>
      <c r="D18" t="s">
        <v>21</v>
      </c>
      <c r="E18" t="s">
        <v>22</v>
      </c>
      <c r="F18" s="35">
        <v>393.12</v>
      </c>
      <c r="G18" s="36">
        <v>432</v>
      </c>
      <c r="H18" s="35">
        <v>-320.32</v>
      </c>
      <c r="I18" s="36">
        <v>-352</v>
      </c>
    </row>
    <row r="19" spans="1:9">
      <c r="A19" t="s">
        <v>136</v>
      </c>
      <c r="B19" t="s">
        <v>151</v>
      </c>
      <c r="C19" t="s">
        <v>152</v>
      </c>
      <c r="D19" t="s">
        <v>157</v>
      </c>
      <c r="E19" t="s">
        <v>158</v>
      </c>
      <c r="F19" s="35">
        <v>57.6</v>
      </c>
      <c r="G19" s="36">
        <v>144</v>
      </c>
      <c r="H19" s="35">
        <v>0</v>
      </c>
      <c r="I19" s="36">
        <v>0</v>
      </c>
    </row>
    <row r="20" spans="1:9">
      <c r="A20" t="s">
        <v>136</v>
      </c>
      <c r="B20" t="s">
        <v>151</v>
      </c>
      <c r="C20" t="s">
        <v>152</v>
      </c>
      <c r="D20" t="s">
        <v>159</v>
      </c>
      <c r="E20" t="s">
        <v>160</v>
      </c>
      <c r="F20" s="35">
        <v>48</v>
      </c>
      <c r="G20" s="36">
        <v>120</v>
      </c>
      <c r="H20" s="35">
        <v>0</v>
      </c>
      <c r="I20" s="36">
        <v>0</v>
      </c>
    </row>
    <row r="21" spans="1:9">
      <c r="A21" t="s">
        <v>136</v>
      </c>
      <c r="B21" t="s">
        <v>151</v>
      </c>
      <c r="C21" t="s">
        <v>152</v>
      </c>
      <c r="D21" t="s">
        <v>161</v>
      </c>
      <c r="E21" t="s">
        <v>162</v>
      </c>
      <c r="F21" s="35">
        <v>24</v>
      </c>
      <c r="G21" s="36">
        <v>60</v>
      </c>
      <c r="H21" s="35">
        <v>0</v>
      </c>
      <c r="I21" s="36">
        <v>0</v>
      </c>
    </row>
    <row r="22" spans="1:9">
      <c r="A22" t="s">
        <v>136</v>
      </c>
      <c r="B22" t="s">
        <v>151</v>
      </c>
      <c r="C22" t="s">
        <v>152</v>
      </c>
      <c r="D22" t="s">
        <v>25</v>
      </c>
      <c r="E22" t="s">
        <v>26</v>
      </c>
      <c r="F22" s="35">
        <v>131.04</v>
      </c>
      <c r="G22" s="36">
        <v>144</v>
      </c>
      <c r="H22" s="35">
        <v>-116.48</v>
      </c>
      <c r="I22" s="36">
        <v>-128</v>
      </c>
    </row>
    <row r="23" spans="1:9">
      <c r="A23" t="s">
        <v>136</v>
      </c>
      <c r="B23" t="s">
        <v>163</v>
      </c>
      <c r="C23" t="s">
        <v>164</v>
      </c>
      <c r="D23" t="s">
        <v>28</v>
      </c>
      <c r="E23" t="s">
        <v>29</v>
      </c>
      <c r="F23" s="35">
        <v>345.62</v>
      </c>
      <c r="G23" s="36">
        <v>288</v>
      </c>
      <c r="H23" s="35">
        <v>0</v>
      </c>
      <c r="I23" s="36">
        <v>0</v>
      </c>
    </row>
    <row r="24" spans="1:9">
      <c r="A24" t="s">
        <v>136</v>
      </c>
      <c r="B24" t="s">
        <v>163</v>
      </c>
      <c r="C24" t="s">
        <v>164</v>
      </c>
      <c r="D24" t="s">
        <v>25</v>
      </c>
      <c r="E24" t="s">
        <v>26</v>
      </c>
      <c r="F24" s="35">
        <v>262.08</v>
      </c>
      <c r="G24" s="36">
        <v>288</v>
      </c>
      <c r="H24" s="35">
        <v>0</v>
      </c>
      <c r="I24" s="36">
        <v>0</v>
      </c>
    </row>
    <row r="25" spans="1:9">
      <c r="A25" t="s">
        <v>136</v>
      </c>
      <c r="B25" t="s">
        <v>163</v>
      </c>
      <c r="C25" t="s">
        <v>164</v>
      </c>
      <c r="D25" t="s">
        <v>21</v>
      </c>
      <c r="E25" t="s">
        <v>22</v>
      </c>
      <c r="F25" s="35">
        <v>262.08</v>
      </c>
      <c r="G25" s="36">
        <v>288</v>
      </c>
      <c r="H25" s="35">
        <v>0</v>
      </c>
      <c r="I25" s="36">
        <v>0</v>
      </c>
    </row>
    <row r="26" spans="1:9">
      <c r="A26" t="s">
        <v>136</v>
      </c>
      <c r="B26" t="s">
        <v>165</v>
      </c>
      <c r="C26" t="s">
        <v>166</v>
      </c>
      <c r="D26" t="s">
        <v>28</v>
      </c>
      <c r="E26" t="s">
        <v>29</v>
      </c>
      <c r="F26" s="35">
        <v>345.62</v>
      </c>
      <c r="G26" s="36">
        <v>288</v>
      </c>
      <c r="H26" s="35">
        <v>0</v>
      </c>
      <c r="I26" s="36">
        <v>0</v>
      </c>
    </row>
    <row r="27" spans="1:9">
      <c r="A27" t="s">
        <v>136</v>
      </c>
      <c r="B27" t="s">
        <v>165</v>
      </c>
      <c r="C27" t="s">
        <v>166</v>
      </c>
      <c r="D27" t="s">
        <v>25</v>
      </c>
      <c r="E27" t="s">
        <v>26</v>
      </c>
      <c r="F27" s="35">
        <v>262.08</v>
      </c>
      <c r="G27" s="36">
        <v>288</v>
      </c>
      <c r="H27" s="35">
        <v>0</v>
      </c>
      <c r="I27" s="36">
        <v>0</v>
      </c>
    </row>
    <row r="28" spans="1:9">
      <c r="A28" t="s">
        <v>136</v>
      </c>
      <c r="B28" t="s">
        <v>165</v>
      </c>
      <c r="C28" t="s">
        <v>166</v>
      </c>
      <c r="D28" t="s">
        <v>21</v>
      </c>
      <c r="E28" t="s">
        <v>22</v>
      </c>
      <c r="F28" s="35">
        <v>131.04</v>
      </c>
      <c r="G28" s="36">
        <v>144</v>
      </c>
      <c r="H28" s="35">
        <v>0</v>
      </c>
      <c r="I28" s="36">
        <v>0</v>
      </c>
    </row>
    <row r="29" spans="1:9">
      <c r="A29" t="s">
        <v>136</v>
      </c>
      <c r="B29" t="s">
        <v>165</v>
      </c>
      <c r="C29" t="s">
        <v>166</v>
      </c>
      <c r="D29" t="s">
        <v>141</v>
      </c>
      <c r="E29" t="s">
        <v>142</v>
      </c>
      <c r="F29" s="35">
        <v>57.6</v>
      </c>
      <c r="G29" s="36">
        <v>48</v>
      </c>
      <c r="H29" s="35">
        <v>0</v>
      </c>
      <c r="I29" s="36">
        <v>0</v>
      </c>
    </row>
    <row r="30" spans="1:9">
      <c r="A30" t="s">
        <v>136</v>
      </c>
      <c r="B30" t="s">
        <v>165</v>
      </c>
      <c r="C30" t="s">
        <v>166</v>
      </c>
      <c r="D30" t="s">
        <v>155</v>
      </c>
      <c r="E30" t="s">
        <v>156</v>
      </c>
      <c r="F30" s="35">
        <v>45.5</v>
      </c>
      <c r="G30" s="36">
        <v>50</v>
      </c>
      <c r="H30" s="35">
        <v>0</v>
      </c>
      <c r="I30" s="36">
        <v>0</v>
      </c>
    </row>
    <row r="31" spans="1:9">
      <c r="A31" t="s">
        <v>136</v>
      </c>
      <c r="B31" t="s">
        <v>167</v>
      </c>
      <c r="C31" t="s">
        <v>168</v>
      </c>
      <c r="D31" t="s">
        <v>28</v>
      </c>
      <c r="E31" t="s">
        <v>29</v>
      </c>
      <c r="F31" s="35">
        <v>345.62</v>
      </c>
      <c r="G31" s="36">
        <v>288</v>
      </c>
      <c r="H31" s="35">
        <v>0</v>
      </c>
      <c r="I31" s="36">
        <v>0</v>
      </c>
    </row>
    <row r="32" spans="1:9">
      <c r="A32" t="s">
        <v>136</v>
      </c>
      <c r="B32" t="s">
        <v>167</v>
      </c>
      <c r="C32" t="s">
        <v>168</v>
      </c>
      <c r="D32" t="s">
        <v>21</v>
      </c>
      <c r="E32" t="s">
        <v>22</v>
      </c>
      <c r="F32" s="35">
        <v>262.08</v>
      </c>
      <c r="G32" s="36">
        <v>288</v>
      </c>
      <c r="H32" s="35">
        <v>0</v>
      </c>
      <c r="I32" s="36">
        <v>0</v>
      </c>
    </row>
    <row r="33" spans="1:9">
      <c r="A33" t="s">
        <v>136</v>
      </c>
      <c r="B33" t="s">
        <v>167</v>
      </c>
      <c r="C33" t="s">
        <v>168</v>
      </c>
      <c r="D33" t="s">
        <v>25</v>
      </c>
      <c r="E33" t="s">
        <v>26</v>
      </c>
      <c r="F33" s="35">
        <v>131.04</v>
      </c>
      <c r="G33" s="36">
        <v>144</v>
      </c>
      <c r="H33" s="35">
        <v>0</v>
      </c>
      <c r="I33" s="36">
        <v>0</v>
      </c>
    </row>
    <row r="34" spans="1:9">
      <c r="A34" t="s">
        <v>136</v>
      </c>
      <c r="B34" t="s">
        <v>169</v>
      </c>
      <c r="C34" t="s">
        <v>170</v>
      </c>
      <c r="D34" t="s">
        <v>21</v>
      </c>
      <c r="E34" t="s">
        <v>22</v>
      </c>
      <c r="F34" s="35">
        <v>262.08</v>
      </c>
      <c r="G34" s="36">
        <v>288</v>
      </c>
      <c r="H34" s="35">
        <v>0</v>
      </c>
      <c r="I34" s="36">
        <v>0</v>
      </c>
    </row>
    <row r="35" spans="1:9">
      <c r="A35" t="s">
        <v>136</v>
      </c>
      <c r="B35" t="s">
        <v>169</v>
      </c>
      <c r="C35" t="s">
        <v>170</v>
      </c>
      <c r="D35" t="s">
        <v>28</v>
      </c>
      <c r="E35" t="s">
        <v>29</v>
      </c>
      <c r="F35" s="35">
        <v>345.62</v>
      </c>
      <c r="G35" s="36">
        <v>288</v>
      </c>
      <c r="H35" s="35">
        <v>-135.61</v>
      </c>
      <c r="I35" s="36">
        <v>-113</v>
      </c>
    </row>
    <row r="36" spans="1:9">
      <c r="A36" t="s">
        <v>136</v>
      </c>
      <c r="B36" t="s">
        <v>169</v>
      </c>
      <c r="C36" t="s">
        <v>170</v>
      </c>
      <c r="D36" t="s">
        <v>32</v>
      </c>
      <c r="E36" t="s">
        <v>33</v>
      </c>
      <c r="F36" s="35">
        <v>120</v>
      </c>
      <c r="G36" s="36">
        <v>300</v>
      </c>
      <c r="H36" s="35">
        <v>0</v>
      </c>
      <c r="I36" s="36">
        <v>0</v>
      </c>
    </row>
    <row r="37" spans="1:9">
      <c r="A37" t="s">
        <v>136</v>
      </c>
      <c r="B37" t="s">
        <v>169</v>
      </c>
      <c r="C37" t="s">
        <v>170</v>
      </c>
      <c r="D37" t="s">
        <v>25</v>
      </c>
      <c r="E37" t="s">
        <v>26</v>
      </c>
      <c r="F37" s="35">
        <v>262.08</v>
      </c>
      <c r="G37" s="36">
        <v>288</v>
      </c>
      <c r="H37" s="35">
        <v>-161.98</v>
      </c>
      <c r="I37" s="36">
        <v>-178</v>
      </c>
    </row>
    <row r="38" spans="1:9">
      <c r="A38" t="s">
        <v>136</v>
      </c>
      <c r="B38" t="s">
        <v>171</v>
      </c>
      <c r="C38" t="s">
        <v>172</v>
      </c>
      <c r="D38" t="s">
        <v>25</v>
      </c>
      <c r="E38" t="s">
        <v>26</v>
      </c>
      <c r="F38" s="35">
        <v>393.12</v>
      </c>
      <c r="G38" s="36">
        <v>432</v>
      </c>
      <c r="H38" s="35">
        <v>-113.75</v>
      </c>
      <c r="I38" s="36">
        <v>-125</v>
      </c>
    </row>
    <row r="39" spans="1:9">
      <c r="A39" t="s">
        <v>136</v>
      </c>
      <c r="B39" t="s">
        <v>171</v>
      </c>
      <c r="C39" t="s">
        <v>172</v>
      </c>
      <c r="D39" t="s">
        <v>28</v>
      </c>
      <c r="E39" t="s">
        <v>29</v>
      </c>
      <c r="F39" s="35">
        <v>345.62</v>
      </c>
      <c r="G39" s="36">
        <v>288</v>
      </c>
      <c r="H39" s="35">
        <v>-87.6</v>
      </c>
      <c r="I39" s="36">
        <v>-73</v>
      </c>
    </row>
    <row r="40" spans="1:9">
      <c r="A40" t="s">
        <v>136</v>
      </c>
      <c r="B40" t="s">
        <v>171</v>
      </c>
      <c r="C40" t="s">
        <v>172</v>
      </c>
      <c r="D40" t="s">
        <v>21</v>
      </c>
      <c r="E40" t="s">
        <v>22</v>
      </c>
      <c r="F40" s="35">
        <v>131.04</v>
      </c>
      <c r="G40" s="36">
        <v>144</v>
      </c>
      <c r="H40" s="35">
        <v>0</v>
      </c>
      <c r="I40" s="36">
        <v>0</v>
      </c>
    </row>
    <row r="41" spans="1:9">
      <c r="A41" t="s">
        <v>136</v>
      </c>
      <c r="B41" t="s">
        <v>173</v>
      </c>
      <c r="C41" t="s">
        <v>174</v>
      </c>
      <c r="D41" t="s">
        <v>21</v>
      </c>
      <c r="E41" t="s">
        <v>22</v>
      </c>
      <c r="F41" s="35">
        <v>262.08</v>
      </c>
      <c r="G41" s="36">
        <v>288</v>
      </c>
      <c r="H41" s="35">
        <v>-71.89</v>
      </c>
      <c r="I41" s="36">
        <v>-79</v>
      </c>
    </row>
    <row r="42" spans="1:9">
      <c r="A42" t="s">
        <v>136</v>
      </c>
      <c r="B42" t="s">
        <v>173</v>
      </c>
      <c r="C42" t="s">
        <v>174</v>
      </c>
      <c r="D42" t="s">
        <v>25</v>
      </c>
      <c r="E42" t="s">
        <v>26</v>
      </c>
      <c r="F42" s="35">
        <v>262.08</v>
      </c>
      <c r="G42" s="36">
        <v>288</v>
      </c>
      <c r="H42" s="35">
        <v>-78.26</v>
      </c>
      <c r="I42" s="36">
        <v>-86</v>
      </c>
    </row>
    <row r="43" spans="1:9">
      <c r="A43" t="s">
        <v>136</v>
      </c>
      <c r="B43" t="s">
        <v>173</v>
      </c>
      <c r="C43" t="s">
        <v>174</v>
      </c>
      <c r="D43" t="s">
        <v>28</v>
      </c>
      <c r="E43" t="s">
        <v>29</v>
      </c>
      <c r="F43" s="35">
        <v>172.81</v>
      </c>
      <c r="G43" s="36">
        <v>144</v>
      </c>
      <c r="H43" s="35">
        <v>0</v>
      </c>
      <c r="I43" s="36">
        <v>0</v>
      </c>
    </row>
    <row r="44" spans="1:9">
      <c r="A44" t="s">
        <v>136</v>
      </c>
      <c r="B44" t="s">
        <v>173</v>
      </c>
      <c r="C44" t="s">
        <v>174</v>
      </c>
      <c r="D44" t="s">
        <v>155</v>
      </c>
      <c r="E44" t="s">
        <v>156</v>
      </c>
      <c r="F44" s="35">
        <v>45.5</v>
      </c>
      <c r="G44" s="36">
        <v>50</v>
      </c>
      <c r="H44" s="35">
        <v>0</v>
      </c>
      <c r="I44" s="36">
        <v>0</v>
      </c>
    </row>
    <row r="45" spans="1:9">
      <c r="A45" t="s">
        <v>136</v>
      </c>
      <c r="B45" t="s">
        <v>173</v>
      </c>
      <c r="C45" t="s">
        <v>174</v>
      </c>
      <c r="D45" t="s">
        <v>139</v>
      </c>
      <c r="E45" t="s">
        <v>140</v>
      </c>
      <c r="F45" s="35">
        <v>45.5</v>
      </c>
      <c r="G45" s="36">
        <v>50</v>
      </c>
      <c r="H45" s="35">
        <v>0</v>
      </c>
      <c r="I45" s="36">
        <v>0</v>
      </c>
    </row>
    <row r="46" spans="1:9">
      <c r="A46" t="s">
        <v>136</v>
      </c>
      <c r="B46" t="s">
        <v>175</v>
      </c>
      <c r="C46" t="s">
        <v>176</v>
      </c>
      <c r="D46" t="s">
        <v>28</v>
      </c>
      <c r="E46" t="s">
        <v>29</v>
      </c>
      <c r="F46" s="35">
        <v>345.62</v>
      </c>
      <c r="G46" s="36">
        <v>288</v>
      </c>
      <c r="H46" s="35">
        <v>0</v>
      </c>
      <c r="I46" s="36">
        <v>0</v>
      </c>
    </row>
    <row r="47" spans="1:9">
      <c r="A47" t="s">
        <v>136</v>
      </c>
      <c r="B47" t="s">
        <v>175</v>
      </c>
      <c r="C47" t="s">
        <v>176</v>
      </c>
      <c r="D47" t="s">
        <v>25</v>
      </c>
      <c r="E47" t="s">
        <v>26</v>
      </c>
      <c r="F47" s="35">
        <v>262.08</v>
      </c>
      <c r="G47" s="36">
        <v>288</v>
      </c>
      <c r="H47" s="35">
        <v>0</v>
      </c>
      <c r="I47" s="36">
        <v>0</v>
      </c>
    </row>
    <row r="48" spans="1:9">
      <c r="A48" t="s">
        <v>136</v>
      </c>
      <c r="B48" t="s">
        <v>177</v>
      </c>
      <c r="C48" t="s">
        <v>178</v>
      </c>
      <c r="D48" t="s">
        <v>28</v>
      </c>
      <c r="E48" t="s">
        <v>29</v>
      </c>
      <c r="F48" s="35">
        <v>345.62</v>
      </c>
      <c r="G48" s="36">
        <v>288</v>
      </c>
      <c r="H48" s="35">
        <v>0</v>
      </c>
      <c r="I48" s="36">
        <v>0</v>
      </c>
    </row>
    <row r="49" spans="1:9">
      <c r="A49" t="s">
        <v>136</v>
      </c>
      <c r="B49" t="s">
        <v>177</v>
      </c>
      <c r="C49" t="s">
        <v>178</v>
      </c>
      <c r="D49" t="s">
        <v>21</v>
      </c>
      <c r="E49" t="s">
        <v>22</v>
      </c>
      <c r="F49" s="35">
        <v>262.08</v>
      </c>
      <c r="G49" s="36">
        <v>288</v>
      </c>
      <c r="H49" s="35">
        <v>-8.19</v>
      </c>
      <c r="I49" s="36">
        <v>-9</v>
      </c>
    </row>
    <row r="50" spans="1:9">
      <c r="A50" t="s">
        <v>136</v>
      </c>
      <c r="B50" t="s">
        <v>179</v>
      </c>
      <c r="C50" t="s">
        <v>180</v>
      </c>
      <c r="D50" t="s">
        <v>28</v>
      </c>
      <c r="E50" t="s">
        <v>29</v>
      </c>
      <c r="F50" s="35">
        <v>345.62</v>
      </c>
      <c r="G50" s="36">
        <v>288</v>
      </c>
      <c r="H50" s="35">
        <v>-120.01</v>
      </c>
      <c r="I50" s="36">
        <v>-100</v>
      </c>
    </row>
    <row r="51" spans="1:9">
      <c r="A51" t="s">
        <v>136</v>
      </c>
      <c r="B51" t="s">
        <v>179</v>
      </c>
      <c r="C51" t="s">
        <v>180</v>
      </c>
      <c r="D51" t="s">
        <v>21</v>
      </c>
      <c r="E51" t="s">
        <v>22</v>
      </c>
      <c r="F51" s="35">
        <v>262.08</v>
      </c>
      <c r="G51" s="36">
        <v>288</v>
      </c>
      <c r="H51" s="35">
        <v>-53.69</v>
      </c>
      <c r="I51" s="36">
        <v>-59</v>
      </c>
    </row>
    <row r="52" spans="1:9">
      <c r="A52" t="s">
        <v>136</v>
      </c>
      <c r="B52" t="s">
        <v>179</v>
      </c>
      <c r="C52" t="s">
        <v>180</v>
      </c>
      <c r="D52" t="s">
        <v>25</v>
      </c>
      <c r="E52" t="s">
        <v>26</v>
      </c>
      <c r="F52" s="35">
        <v>131.04</v>
      </c>
      <c r="G52" s="36">
        <v>144</v>
      </c>
      <c r="H52" s="35">
        <v>0</v>
      </c>
      <c r="I52" s="36">
        <v>0</v>
      </c>
    </row>
    <row r="53" spans="1:9">
      <c r="A53" t="s">
        <v>136</v>
      </c>
      <c r="B53" t="s">
        <v>181</v>
      </c>
      <c r="C53" t="s">
        <v>182</v>
      </c>
      <c r="D53" t="s">
        <v>25</v>
      </c>
      <c r="E53" t="s">
        <v>26</v>
      </c>
      <c r="F53" s="35">
        <v>262.08</v>
      </c>
      <c r="G53" s="36">
        <v>288</v>
      </c>
      <c r="H53" s="35">
        <v>0</v>
      </c>
      <c r="I53" s="36">
        <v>0</v>
      </c>
    </row>
    <row r="54" spans="1:9">
      <c r="A54" t="s">
        <v>136</v>
      </c>
      <c r="B54" t="s">
        <v>181</v>
      </c>
      <c r="C54" t="s">
        <v>182</v>
      </c>
      <c r="D54" t="s">
        <v>21</v>
      </c>
      <c r="E54" t="s">
        <v>22</v>
      </c>
      <c r="F54" s="35">
        <v>262.08</v>
      </c>
      <c r="G54" s="36">
        <v>288</v>
      </c>
      <c r="H54" s="35">
        <v>0</v>
      </c>
      <c r="I54" s="36">
        <v>0</v>
      </c>
    </row>
    <row r="55" spans="1:9">
      <c r="A55" t="s">
        <v>136</v>
      </c>
      <c r="B55" t="s">
        <v>183</v>
      </c>
      <c r="C55" t="s">
        <v>184</v>
      </c>
      <c r="D55" t="s">
        <v>28</v>
      </c>
      <c r="E55" t="s">
        <v>29</v>
      </c>
      <c r="F55" s="35">
        <v>345.62</v>
      </c>
      <c r="G55" s="36">
        <v>288</v>
      </c>
      <c r="H55" s="35">
        <v>0</v>
      </c>
      <c r="I55" s="36">
        <v>0</v>
      </c>
    </row>
    <row r="56" spans="1:9">
      <c r="A56" t="s">
        <v>136</v>
      </c>
      <c r="B56" t="s">
        <v>183</v>
      </c>
      <c r="C56" t="s">
        <v>184</v>
      </c>
      <c r="D56" t="s">
        <v>21</v>
      </c>
      <c r="E56" t="s">
        <v>22</v>
      </c>
      <c r="F56" s="35">
        <v>131.04</v>
      </c>
      <c r="G56" s="36">
        <v>144</v>
      </c>
      <c r="H56" s="35">
        <v>0</v>
      </c>
      <c r="I56" s="36">
        <v>0</v>
      </c>
    </row>
    <row r="57" spans="1:9">
      <c r="A57" t="s">
        <v>136</v>
      </c>
      <c r="B57" t="s">
        <v>185</v>
      </c>
      <c r="C57" t="s">
        <v>186</v>
      </c>
      <c r="D57" t="s">
        <v>28</v>
      </c>
      <c r="E57" t="s">
        <v>29</v>
      </c>
      <c r="F57" s="35">
        <v>345.62</v>
      </c>
      <c r="G57" s="36">
        <v>288</v>
      </c>
      <c r="H57" s="35">
        <v>-118.81</v>
      </c>
      <c r="I57" s="36">
        <v>-99</v>
      </c>
    </row>
    <row r="58" spans="1:9">
      <c r="A58" t="s">
        <v>136</v>
      </c>
      <c r="B58" t="s">
        <v>185</v>
      </c>
      <c r="C58" t="s">
        <v>186</v>
      </c>
      <c r="D58" t="s">
        <v>25</v>
      </c>
      <c r="E58" t="s">
        <v>26</v>
      </c>
      <c r="F58" s="35">
        <v>131.04</v>
      </c>
      <c r="G58" s="36">
        <v>144</v>
      </c>
      <c r="H58" s="35">
        <v>0</v>
      </c>
      <c r="I58" s="36">
        <v>0</v>
      </c>
    </row>
    <row r="59" spans="1:9">
      <c r="A59" t="s">
        <v>136</v>
      </c>
      <c r="B59" t="s">
        <v>185</v>
      </c>
      <c r="C59" t="s">
        <v>186</v>
      </c>
      <c r="D59" t="s">
        <v>21</v>
      </c>
      <c r="E59" t="s">
        <v>22</v>
      </c>
      <c r="F59" s="35">
        <v>262.08</v>
      </c>
      <c r="G59" s="36">
        <v>288</v>
      </c>
      <c r="H59" s="35">
        <v>-170.17</v>
      </c>
      <c r="I59" s="36">
        <v>-187</v>
      </c>
    </row>
    <row r="60" spans="1:9">
      <c r="A60" t="s">
        <v>136</v>
      </c>
      <c r="B60" t="s">
        <v>187</v>
      </c>
      <c r="C60" t="s">
        <v>188</v>
      </c>
      <c r="D60" t="s">
        <v>25</v>
      </c>
      <c r="E60" t="s">
        <v>26</v>
      </c>
      <c r="F60" s="35">
        <v>262.08</v>
      </c>
      <c r="G60" s="36">
        <v>288</v>
      </c>
      <c r="H60" s="35">
        <v>0</v>
      </c>
      <c r="I60" s="36">
        <v>0</v>
      </c>
    </row>
    <row r="61" spans="1:9">
      <c r="A61" t="s">
        <v>136</v>
      </c>
      <c r="B61" t="s">
        <v>187</v>
      </c>
      <c r="C61" t="s">
        <v>188</v>
      </c>
      <c r="D61" t="s">
        <v>28</v>
      </c>
      <c r="E61" t="s">
        <v>29</v>
      </c>
      <c r="F61" s="35">
        <v>172.81</v>
      </c>
      <c r="G61" s="36">
        <v>144</v>
      </c>
      <c r="H61" s="35">
        <v>0</v>
      </c>
      <c r="I61" s="36">
        <v>0</v>
      </c>
    </row>
    <row r="62" spans="1:9">
      <c r="A62" t="s">
        <v>136</v>
      </c>
      <c r="B62" t="s">
        <v>189</v>
      </c>
      <c r="C62" t="s">
        <v>190</v>
      </c>
      <c r="D62" t="s">
        <v>21</v>
      </c>
      <c r="E62" t="s">
        <v>22</v>
      </c>
      <c r="F62" s="35">
        <v>262.08</v>
      </c>
      <c r="G62" s="36">
        <v>288</v>
      </c>
      <c r="H62" s="35">
        <v>0</v>
      </c>
      <c r="I62" s="36">
        <v>0</v>
      </c>
    </row>
    <row r="63" spans="1:9">
      <c r="A63" t="s">
        <v>136</v>
      </c>
      <c r="B63" t="s">
        <v>189</v>
      </c>
      <c r="C63" t="s">
        <v>190</v>
      </c>
      <c r="D63" t="s">
        <v>28</v>
      </c>
      <c r="E63" t="s">
        <v>29</v>
      </c>
      <c r="F63" s="35">
        <v>345.62</v>
      </c>
      <c r="G63" s="36">
        <v>288</v>
      </c>
      <c r="H63" s="35">
        <v>-208.81</v>
      </c>
      <c r="I63" s="36">
        <v>-174</v>
      </c>
    </row>
    <row r="64" spans="1:9">
      <c r="A64" t="s">
        <v>136</v>
      </c>
      <c r="B64" t="s">
        <v>191</v>
      </c>
      <c r="C64" t="s">
        <v>192</v>
      </c>
      <c r="D64" t="s">
        <v>25</v>
      </c>
      <c r="E64" t="s">
        <v>26</v>
      </c>
      <c r="F64" s="35">
        <v>262.08</v>
      </c>
      <c r="G64" s="36">
        <v>288</v>
      </c>
      <c r="H64" s="35">
        <v>0</v>
      </c>
      <c r="I64" s="36">
        <v>0</v>
      </c>
    </row>
    <row r="65" spans="1:9">
      <c r="A65" t="s">
        <v>136</v>
      </c>
      <c r="B65" t="s">
        <v>191</v>
      </c>
      <c r="C65" t="s">
        <v>192</v>
      </c>
      <c r="D65" t="s">
        <v>32</v>
      </c>
      <c r="E65" t="s">
        <v>33</v>
      </c>
      <c r="F65" s="35">
        <v>120</v>
      </c>
      <c r="G65" s="36">
        <v>300</v>
      </c>
      <c r="H65" s="35">
        <v>0</v>
      </c>
      <c r="I65" s="36">
        <v>0</v>
      </c>
    </row>
    <row r="66" spans="1:9">
      <c r="A66" t="s">
        <v>136</v>
      </c>
      <c r="B66" t="s">
        <v>193</v>
      </c>
      <c r="C66" t="s">
        <v>194</v>
      </c>
      <c r="D66" t="s">
        <v>21</v>
      </c>
      <c r="E66" t="s">
        <v>22</v>
      </c>
      <c r="F66" s="35">
        <v>262.08</v>
      </c>
      <c r="G66" s="36">
        <v>288</v>
      </c>
      <c r="H66" s="35">
        <v>-52.78</v>
      </c>
      <c r="I66" s="36">
        <v>-58</v>
      </c>
    </row>
    <row r="67" spans="1:9">
      <c r="A67" t="s">
        <v>136</v>
      </c>
      <c r="B67" t="s">
        <v>193</v>
      </c>
      <c r="C67" t="s">
        <v>194</v>
      </c>
      <c r="D67" t="s">
        <v>28</v>
      </c>
      <c r="E67" t="s">
        <v>29</v>
      </c>
      <c r="F67" s="35">
        <v>172.81</v>
      </c>
      <c r="G67" s="36">
        <v>144</v>
      </c>
      <c r="H67" s="35">
        <v>-15.6</v>
      </c>
      <c r="I67" s="36">
        <v>-13</v>
      </c>
    </row>
    <row r="68" spans="1:9">
      <c r="A68" t="s">
        <v>136</v>
      </c>
      <c r="B68" t="s">
        <v>195</v>
      </c>
      <c r="C68" t="s">
        <v>196</v>
      </c>
      <c r="D68" t="s">
        <v>28</v>
      </c>
      <c r="E68" t="s">
        <v>29</v>
      </c>
      <c r="F68" s="35">
        <v>518.43</v>
      </c>
      <c r="G68" s="36">
        <v>432</v>
      </c>
      <c r="H68" s="35">
        <v>-382.82</v>
      </c>
      <c r="I68" s="36">
        <v>-319</v>
      </c>
    </row>
    <row r="69" spans="1:9">
      <c r="A69" t="s">
        <v>136</v>
      </c>
      <c r="B69" t="s">
        <v>195</v>
      </c>
      <c r="C69" t="s">
        <v>196</v>
      </c>
      <c r="D69" t="s">
        <v>21</v>
      </c>
      <c r="E69" t="s">
        <v>22</v>
      </c>
      <c r="F69" s="35">
        <v>393.12</v>
      </c>
      <c r="G69" s="36">
        <v>432</v>
      </c>
      <c r="H69" s="35">
        <v>-278.46</v>
      </c>
      <c r="I69" s="36">
        <v>-306</v>
      </c>
    </row>
    <row r="70" spans="1:9">
      <c r="A70" t="s">
        <v>136</v>
      </c>
      <c r="B70" t="s">
        <v>195</v>
      </c>
      <c r="C70" t="s">
        <v>196</v>
      </c>
      <c r="D70" t="s">
        <v>25</v>
      </c>
      <c r="E70" t="s">
        <v>26</v>
      </c>
      <c r="F70" s="35">
        <v>262.08</v>
      </c>
      <c r="G70" s="36">
        <v>288</v>
      </c>
      <c r="H70" s="35">
        <v>-196.56</v>
      </c>
      <c r="I70" s="36">
        <v>-216</v>
      </c>
    </row>
    <row r="71" spans="1:9">
      <c r="A71" t="s">
        <v>136</v>
      </c>
      <c r="B71" t="s">
        <v>197</v>
      </c>
      <c r="C71" t="s">
        <v>198</v>
      </c>
      <c r="D71" t="s">
        <v>21</v>
      </c>
      <c r="E71" t="s">
        <v>22</v>
      </c>
      <c r="F71" s="35">
        <v>262.08</v>
      </c>
      <c r="G71" s="36">
        <v>288</v>
      </c>
      <c r="H71" s="35">
        <v>-100.1</v>
      </c>
      <c r="I71" s="36">
        <v>-110</v>
      </c>
    </row>
    <row r="72" spans="1:9">
      <c r="A72" t="s">
        <v>136</v>
      </c>
      <c r="B72" t="s">
        <v>197</v>
      </c>
      <c r="C72" t="s">
        <v>198</v>
      </c>
      <c r="D72" t="s">
        <v>32</v>
      </c>
      <c r="E72" t="s">
        <v>33</v>
      </c>
      <c r="F72" s="35">
        <v>120</v>
      </c>
      <c r="G72" s="36">
        <v>300</v>
      </c>
      <c r="H72" s="35">
        <v>0</v>
      </c>
      <c r="I72" s="36">
        <v>0</v>
      </c>
    </row>
    <row r="73" spans="1:9">
      <c r="A73" t="s">
        <v>136</v>
      </c>
      <c r="B73" t="s">
        <v>197</v>
      </c>
      <c r="C73" t="s">
        <v>198</v>
      </c>
      <c r="D73" t="s">
        <v>141</v>
      </c>
      <c r="E73" t="s">
        <v>142</v>
      </c>
      <c r="F73" s="35">
        <v>28.8</v>
      </c>
      <c r="G73" s="36">
        <v>24</v>
      </c>
      <c r="H73" s="35">
        <v>0</v>
      </c>
      <c r="I73" s="36">
        <v>0</v>
      </c>
    </row>
    <row r="74" spans="1:9">
      <c r="A74" t="s">
        <v>136</v>
      </c>
      <c r="B74" t="s">
        <v>199</v>
      </c>
      <c r="C74" t="s">
        <v>200</v>
      </c>
      <c r="D74" t="s">
        <v>28</v>
      </c>
      <c r="E74" t="s">
        <v>29</v>
      </c>
      <c r="F74" s="35">
        <v>345.62</v>
      </c>
      <c r="G74" s="36">
        <v>288</v>
      </c>
      <c r="H74" s="35">
        <v>-151.21</v>
      </c>
      <c r="I74" s="36">
        <v>-126</v>
      </c>
    </row>
    <row r="75" spans="1:9">
      <c r="A75" t="s">
        <v>136</v>
      </c>
      <c r="B75" t="s">
        <v>199</v>
      </c>
      <c r="C75" t="s">
        <v>200</v>
      </c>
      <c r="D75" t="s">
        <v>21</v>
      </c>
      <c r="E75" t="s">
        <v>22</v>
      </c>
      <c r="F75" s="35">
        <v>131.04</v>
      </c>
      <c r="G75" s="36">
        <v>144</v>
      </c>
      <c r="H75" s="35">
        <v>-60.06</v>
      </c>
      <c r="I75" s="36">
        <v>-66</v>
      </c>
    </row>
    <row r="76" spans="1:9">
      <c r="A76" t="s">
        <v>136</v>
      </c>
      <c r="B76" t="s">
        <v>201</v>
      </c>
      <c r="C76" t="s">
        <v>202</v>
      </c>
      <c r="D76" t="s">
        <v>25</v>
      </c>
      <c r="E76" t="s">
        <v>26</v>
      </c>
      <c r="F76" s="35">
        <v>131.04</v>
      </c>
      <c r="G76" s="36">
        <v>144</v>
      </c>
      <c r="H76" s="35">
        <v>0</v>
      </c>
      <c r="I76" s="36">
        <v>0</v>
      </c>
    </row>
    <row r="77" spans="1:9">
      <c r="A77" t="s">
        <v>136</v>
      </c>
      <c r="B77" t="s">
        <v>201</v>
      </c>
      <c r="C77" t="s">
        <v>202</v>
      </c>
      <c r="D77" t="s">
        <v>21</v>
      </c>
      <c r="E77" t="s">
        <v>22</v>
      </c>
      <c r="F77" s="35">
        <v>131.04</v>
      </c>
      <c r="G77" s="36">
        <v>144</v>
      </c>
      <c r="H77" s="35">
        <v>-19.11</v>
      </c>
      <c r="I77" s="36">
        <v>-21</v>
      </c>
    </row>
    <row r="78" spans="1:9">
      <c r="A78" t="s">
        <v>136</v>
      </c>
      <c r="B78" t="s">
        <v>203</v>
      </c>
      <c r="C78" t="s">
        <v>204</v>
      </c>
      <c r="D78" t="s">
        <v>25</v>
      </c>
      <c r="E78" t="s">
        <v>26</v>
      </c>
      <c r="F78" s="35">
        <v>131.04</v>
      </c>
      <c r="G78" s="36">
        <v>144</v>
      </c>
      <c r="H78" s="35">
        <v>-63.7</v>
      </c>
      <c r="I78" s="36">
        <v>-70</v>
      </c>
    </row>
    <row r="79" spans="1:9">
      <c r="A79" t="s">
        <v>136</v>
      </c>
      <c r="B79" t="s">
        <v>203</v>
      </c>
      <c r="C79" t="s">
        <v>204</v>
      </c>
      <c r="D79" t="s">
        <v>21</v>
      </c>
      <c r="E79" t="s">
        <v>22</v>
      </c>
      <c r="F79" s="35">
        <v>131.04</v>
      </c>
      <c r="G79" s="36">
        <v>144</v>
      </c>
      <c r="H79" s="35">
        <v>-73.71</v>
      </c>
      <c r="I79" s="36">
        <v>-81</v>
      </c>
    </row>
    <row r="80" spans="1:9">
      <c r="A80" t="s">
        <v>136</v>
      </c>
      <c r="B80" t="s">
        <v>203</v>
      </c>
      <c r="C80" t="s">
        <v>204</v>
      </c>
      <c r="D80" t="s">
        <v>28</v>
      </c>
      <c r="E80" t="s">
        <v>29</v>
      </c>
      <c r="F80" s="35">
        <v>172.81</v>
      </c>
      <c r="G80" s="36">
        <v>144</v>
      </c>
      <c r="H80" s="35">
        <v>-120.01</v>
      </c>
      <c r="I80" s="36">
        <v>-100</v>
      </c>
    </row>
    <row r="81" spans="1:9">
      <c r="A81" t="s">
        <v>136</v>
      </c>
      <c r="B81" t="s">
        <v>205</v>
      </c>
      <c r="C81" t="s">
        <v>206</v>
      </c>
      <c r="D81" t="s">
        <v>25</v>
      </c>
      <c r="E81" t="s">
        <v>26</v>
      </c>
      <c r="F81" s="35">
        <v>131.04</v>
      </c>
      <c r="G81" s="36">
        <v>144</v>
      </c>
      <c r="H81" s="35">
        <v>0</v>
      </c>
      <c r="I81" s="36">
        <v>0</v>
      </c>
    </row>
    <row r="82" spans="1:9">
      <c r="A82" t="s">
        <v>136</v>
      </c>
      <c r="B82" t="s">
        <v>205</v>
      </c>
      <c r="C82" t="s">
        <v>206</v>
      </c>
      <c r="D82" t="s">
        <v>21</v>
      </c>
      <c r="E82" t="s">
        <v>22</v>
      </c>
      <c r="F82" s="35">
        <v>131.04</v>
      </c>
      <c r="G82" s="36">
        <v>144</v>
      </c>
      <c r="H82" s="35">
        <v>-101.01</v>
      </c>
      <c r="I82" s="36">
        <v>-111</v>
      </c>
    </row>
  </sheetData>
  <conditionalFormatting sqref="F2:F82">
    <cfRule type="expression" dxfId="3" priority="10">
      <formula>AND($F2=0,LEN($F2)&gt;0)</formula>
    </cfRule>
  </conditionalFormatting>
  <conditionalFormatting sqref="G2:G82">
    <cfRule type="expression" dxfId="3" priority="12">
      <formula>AND($G2=0,LEN($G2)&gt;0)</formula>
    </cfRule>
  </conditionalFormatting>
  <conditionalFormatting sqref="H2:H82">
    <cfRule type="expression" dxfId="3" priority="4">
      <formula>AND($H2=0,LEN($H2)&gt;0)</formula>
    </cfRule>
  </conditionalFormatting>
  <conditionalFormatting sqref="I2:I82">
    <cfRule type="expression" dxfId="3" priority="14">
      <formula>AND($I2=0,LEN($I2)&gt;0)</formula>
    </cfRule>
  </conditionalFormatting>
  <conditionalFormatting sqref="A2:I82">
    <cfRule type="expression" dxfId="4" priority="17">
      <formula>AND(MIN($B2:$I2)=0,MAX($B2:$I2)=0)</formula>
    </cfRule>
  </conditionalFormatting>
  <conditionalFormatting sqref="F2:I82">
    <cfRule type="cellIs" dxfId="5" priority="3" operator="lessThan">
      <formula>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"/>
    </sheetView>
  </sheetViews>
  <sheetFormatPr defaultColWidth="9" defaultRowHeight="15.2" outlineLevelCol="1"/>
  <cols>
    <col min="1" max="1" width="18.8571428571429" customWidth="1"/>
    <col min="2" max="2" width="29.8571428571429" customWidth="1"/>
  </cols>
  <sheetData>
    <row r="1" spans="1:2">
      <c r="A1" s="32" t="s">
        <v>207</v>
      </c>
      <c r="B1" s="33">
        <v>46149.5909953704</v>
      </c>
    </row>
    <row r="2" spans="1:2">
      <c r="A2" s="32" t="s">
        <v>208</v>
      </c>
      <c r="B2" s="33">
        <v>46149.1735300926</v>
      </c>
    </row>
    <row r="3" spans="1:2">
      <c r="A3" s="32" t="s">
        <v>209</v>
      </c>
      <c r="B3" t="s">
        <v>210</v>
      </c>
    </row>
    <row r="4" spans="1:2">
      <c r="A4" s="32" t="s">
        <v>211</v>
      </c>
      <c r="B4" t="s">
        <v>212</v>
      </c>
    </row>
    <row r="5" spans="1:2">
      <c r="A5" s="32" t="s">
        <v>213</v>
      </c>
      <c r="B5" t="s">
        <v>214</v>
      </c>
    </row>
    <row r="6" spans="1:2">
      <c r="A6" s="32" t="s">
        <v>215</v>
      </c>
      <c r="B6" t="s">
        <v>216</v>
      </c>
    </row>
    <row r="7" spans="1:2">
      <c r="A7" s="32"/>
      <c r="B7" t="s">
        <v>217</v>
      </c>
    </row>
    <row r="8" spans="1:2">
      <c r="A8" s="32" t="s">
        <v>218</v>
      </c>
      <c r="B8" t="s">
        <v>219</v>
      </c>
    </row>
    <row r="9" spans="1:2">
      <c r="A9" s="32" t="s">
        <v>220</v>
      </c>
      <c r="B9" t="s">
        <v>221</v>
      </c>
    </row>
    <row r="10" spans="1:2">
      <c r="A10" s="32" t="s">
        <v>222</v>
      </c>
      <c r="B10" t="s">
        <v>223</v>
      </c>
    </row>
    <row r="11" spans="1:2">
      <c r="A11" s="32" t="s">
        <v>224</v>
      </c>
      <c r="B11" t="s">
        <v>225</v>
      </c>
    </row>
    <row r="12" spans="1:2">
      <c r="A12" s="32" t="s">
        <v>226</v>
      </c>
      <c r="B12" t="s">
        <v>227</v>
      </c>
    </row>
    <row r="13" spans="1:2">
      <c r="A13" s="32" t="s">
        <v>214</v>
      </c>
      <c r="B13" t="s">
        <v>228</v>
      </c>
    </row>
    <row r="14" spans="1:2">
      <c r="A14" s="32"/>
      <c r="B14" t="s">
        <v>229</v>
      </c>
    </row>
    <row r="15" spans="1:2">
      <c r="A15" s="32"/>
      <c r="B15" t="s">
        <v>230</v>
      </c>
    </row>
    <row r="16" spans="1:2">
      <c r="A16" s="32" t="s">
        <v>231</v>
      </c>
      <c r="B16" t="s">
        <v>232</v>
      </c>
    </row>
    <row r="17" spans="1:2">
      <c r="A17" s="32"/>
      <c r="B17" t="s">
        <v>233</v>
      </c>
    </row>
    <row r="18" spans="1:2">
      <c r="A18" s="32"/>
      <c r="B18" t="s">
        <v>234</v>
      </c>
    </row>
    <row r="19" spans="1:2">
      <c r="A19" s="32"/>
      <c r="B19" t="s">
        <v>235</v>
      </c>
    </row>
    <row r="20" spans="1:2">
      <c r="A20" s="32"/>
      <c r="B20" t="s">
        <v>236</v>
      </c>
    </row>
    <row r="21" spans="1:2">
      <c r="A21" s="32"/>
      <c r="B21" t="s">
        <v>237</v>
      </c>
    </row>
    <row r="22" spans="1:2">
      <c r="A22" s="32"/>
      <c r="B22" t="s">
        <v>238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showGridLines="0" workbookViewId="0">
      <selection activeCell="A1" sqref="A1:M1"/>
    </sheetView>
  </sheetViews>
  <sheetFormatPr defaultColWidth="9" defaultRowHeight="15.2"/>
  <cols>
    <col min="1" max="1" width="25" customWidth="1"/>
    <col min="2" max="2" width="15" customWidth="1"/>
    <col min="3" max="3" width="18" customWidth="1"/>
    <col min="4" max="11" width="15" customWidth="1"/>
    <col min="12" max="12" width="24" customWidth="1"/>
    <col min="13" max="13" width="52" customWidth="1"/>
  </cols>
  <sheetData>
    <row r="1" ht="30" customHeight="1" spans="1:13">
      <c r="A1" s="1" t="s">
        <v>239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4" customHeight="1" spans="1:13">
      <c r="A2" s="18" t="s">
        <v>240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ht="38" customHeight="1" spans="1:13">
      <c r="A4" s="28" t="s">
        <v>5</v>
      </c>
      <c r="B4" s="28" t="s">
        <v>241</v>
      </c>
      <c r="C4" s="28" t="s">
        <v>242</v>
      </c>
      <c r="D4" s="28" t="s">
        <v>243</v>
      </c>
      <c r="E4" s="28" t="s">
        <v>244</v>
      </c>
      <c r="F4" s="28" t="s">
        <v>245</v>
      </c>
      <c r="G4" s="28" t="s">
        <v>246</v>
      </c>
      <c r="H4" s="28" t="s">
        <v>247</v>
      </c>
      <c r="I4" s="28" t="s">
        <v>248</v>
      </c>
      <c r="J4" s="28" t="s">
        <v>249</v>
      </c>
      <c r="K4" s="28" t="s">
        <v>250</v>
      </c>
      <c r="L4" s="28" t="s">
        <v>251</v>
      </c>
      <c r="M4" s="28" t="s">
        <v>252</v>
      </c>
    </row>
    <row r="5" ht="38" customHeight="1" spans="1:13">
      <c r="A5" s="14" t="s">
        <v>20</v>
      </c>
      <c r="B5" s="14" t="s">
        <v>253</v>
      </c>
      <c r="C5" s="29">
        <v>17</v>
      </c>
      <c r="D5" s="29">
        <v>19</v>
      </c>
      <c r="E5" s="29">
        <v>59</v>
      </c>
      <c r="F5" s="29">
        <v>72</v>
      </c>
      <c r="G5" s="14" t="s">
        <v>254</v>
      </c>
      <c r="H5" s="29">
        <v>432</v>
      </c>
      <c r="I5" s="29">
        <v>251</v>
      </c>
      <c r="J5" s="29">
        <v>150</v>
      </c>
      <c r="K5" s="29">
        <v>282</v>
      </c>
      <c r="L5" s="14" t="s">
        <v>255</v>
      </c>
      <c r="M5" s="16" t="s">
        <v>256</v>
      </c>
    </row>
    <row r="6" ht="38" customHeight="1" spans="1:13">
      <c r="A6" s="14" t="s">
        <v>39</v>
      </c>
      <c r="B6" s="14" t="s">
        <v>257</v>
      </c>
      <c r="C6" s="29">
        <v>7</v>
      </c>
      <c r="D6" s="29">
        <v>36</v>
      </c>
      <c r="E6" s="29">
        <v>370</v>
      </c>
      <c r="F6" s="29">
        <v>46</v>
      </c>
      <c r="G6" s="14" t="s">
        <v>254</v>
      </c>
      <c r="H6" s="29">
        <v>720</v>
      </c>
      <c r="I6" s="29">
        <v>165</v>
      </c>
      <c r="J6" s="29">
        <v>452</v>
      </c>
      <c r="K6" s="29">
        <v>268</v>
      </c>
      <c r="L6" s="14" t="s">
        <v>255</v>
      </c>
      <c r="M6" s="16" t="s">
        <v>258</v>
      </c>
    </row>
    <row r="7" ht="38" customHeight="1" spans="1:13">
      <c r="A7" s="14" t="s">
        <v>43</v>
      </c>
      <c r="B7" s="14" t="s">
        <v>259</v>
      </c>
      <c r="C7" s="29">
        <v>11</v>
      </c>
      <c r="D7" s="29">
        <v>36</v>
      </c>
      <c r="E7" s="29">
        <v>415</v>
      </c>
      <c r="F7" s="29">
        <v>114</v>
      </c>
      <c r="G7" s="14" t="s">
        <v>254</v>
      </c>
      <c r="H7" s="29">
        <v>864</v>
      </c>
      <c r="I7" s="29">
        <v>198</v>
      </c>
      <c r="J7" s="29">
        <v>565</v>
      </c>
      <c r="K7" s="29">
        <v>299</v>
      </c>
      <c r="L7" s="14" t="s">
        <v>255</v>
      </c>
      <c r="M7" s="16" t="s">
        <v>260</v>
      </c>
    </row>
    <row r="8" ht="38" customHeight="1" spans="1:13">
      <c r="A8" s="14" t="s">
        <v>47</v>
      </c>
      <c r="B8" s="14" t="s">
        <v>254</v>
      </c>
      <c r="C8" s="29">
        <v>5</v>
      </c>
      <c r="D8" s="29">
        <v>30</v>
      </c>
      <c r="E8" s="29">
        <v>317</v>
      </c>
      <c r="F8" s="29">
        <v>0</v>
      </c>
      <c r="G8" s="14" t="s">
        <v>254</v>
      </c>
      <c r="H8" s="29">
        <v>720</v>
      </c>
      <c r="I8" s="29">
        <v>286</v>
      </c>
      <c r="J8" s="29">
        <v>347</v>
      </c>
      <c r="K8" s="29">
        <v>373</v>
      </c>
      <c r="L8" s="14" t="s">
        <v>255</v>
      </c>
      <c r="M8" s="16" t="s">
        <v>261</v>
      </c>
    </row>
    <row r="9" ht="38" customHeight="1" spans="1:13">
      <c r="A9" s="14" t="s">
        <v>51</v>
      </c>
      <c r="B9" s="14" t="s">
        <v>262</v>
      </c>
      <c r="C9" s="29">
        <v>35</v>
      </c>
      <c r="D9" s="29">
        <v>17</v>
      </c>
      <c r="E9" s="29">
        <v>55</v>
      </c>
      <c r="F9" s="29">
        <v>101</v>
      </c>
      <c r="G9" s="14" t="s">
        <v>254</v>
      </c>
      <c r="H9" s="29">
        <v>432</v>
      </c>
      <c r="I9" s="29">
        <v>192</v>
      </c>
      <c r="J9" s="29">
        <v>173</v>
      </c>
      <c r="K9" s="29">
        <v>259</v>
      </c>
      <c r="L9" s="14" t="s">
        <v>255</v>
      </c>
      <c r="M9" s="16" t="s">
        <v>263</v>
      </c>
    </row>
    <row r="10" ht="38" customHeight="1" spans="1:13">
      <c r="A10" s="14" t="s">
        <v>54</v>
      </c>
      <c r="B10" s="14" t="s">
        <v>264</v>
      </c>
      <c r="C10" s="29">
        <v>8</v>
      </c>
      <c r="D10" s="29">
        <v>24</v>
      </c>
      <c r="E10" s="29">
        <v>192</v>
      </c>
      <c r="F10" s="29">
        <v>36</v>
      </c>
      <c r="G10" s="14" t="s">
        <v>254</v>
      </c>
      <c r="H10" s="29">
        <v>288</v>
      </c>
      <c r="I10" s="29">
        <v>111</v>
      </c>
      <c r="J10" s="29">
        <v>252</v>
      </c>
      <c r="K10" s="29">
        <v>36</v>
      </c>
      <c r="L10" s="14" t="s">
        <v>255</v>
      </c>
      <c r="M10" s="16" t="s">
        <v>265</v>
      </c>
    </row>
    <row r="11" ht="38" customHeight="1" spans="1:13">
      <c r="A11" s="14" t="s">
        <v>57</v>
      </c>
      <c r="B11" s="14" t="s">
        <v>266</v>
      </c>
      <c r="C11" s="29">
        <v>6</v>
      </c>
      <c r="D11" s="29">
        <v>41</v>
      </c>
      <c r="E11" s="29">
        <v>684</v>
      </c>
      <c r="F11" s="29">
        <v>26</v>
      </c>
      <c r="G11" s="14" t="s">
        <v>254</v>
      </c>
      <c r="H11" s="29">
        <v>1164</v>
      </c>
      <c r="I11" s="29">
        <v>291</v>
      </c>
      <c r="J11" s="29">
        <v>751</v>
      </c>
      <c r="K11" s="29">
        <v>413</v>
      </c>
      <c r="L11" s="14" t="s">
        <v>255</v>
      </c>
      <c r="M11" s="16" t="s">
        <v>267</v>
      </c>
    </row>
    <row r="12" ht="38" customHeight="1" spans="1:13">
      <c r="A12" s="14" t="s">
        <v>63</v>
      </c>
      <c r="B12" s="14" t="s">
        <v>268</v>
      </c>
      <c r="C12" s="29">
        <v>9</v>
      </c>
      <c r="D12" s="29">
        <v>17</v>
      </c>
      <c r="E12" s="29">
        <v>229</v>
      </c>
      <c r="F12" s="29">
        <v>44</v>
      </c>
      <c r="G12" s="14" t="s">
        <v>254</v>
      </c>
      <c r="H12" s="29">
        <v>576</v>
      </c>
      <c r="I12" s="29">
        <v>0</v>
      </c>
      <c r="J12" s="29">
        <v>290</v>
      </c>
      <c r="K12" s="29">
        <v>286</v>
      </c>
      <c r="L12" s="14" t="s">
        <v>269</v>
      </c>
      <c r="M12" s="16" t="s">
        <v>270</v>
      </c>
    </row>
    <row r="13" ht="38" customHeight="1" spans="1:13">
      <c r="A13" s="14" t="s">
        <v>66</v>
      </c>
      <c r="B13" s="14" t="s">
        <v>253</v>
      </c>
      <c r="C13" s="29">
        <v>17</v>
      </c>
      <c r="D13" s="29">
        <v>28</v>
      </c>
      <c r="E13" s="29">
        <v>311</v>
      </c>
      <c r="F13" s="29">
        <v>164</v>
      </c>
      <c r="G13" s="14" t="s">
        <v>254</v>
      </c>
      <c r="H13" s="29">
        <v>720</v>
      </c>
      <c r="I13" s="29">
        <v>159</v>
      </c>
      <c r="J13" s="29">
        <v>503</v>
      </c>
      <c r="K13" s="29">
        <v>217</v>
      </c>
      <c r="L13" s="14" t="s">
        <v>255</v>
      </c>
      <c r="M13" s="16" t="s">
        <v>271</v>
      </c>
    </row>
    <row r="14" ht="38" customHeight="1" spans="1:13">
      <c r="A14" s="14" t="s">
        <v>70</v>
      </c>
      <c r="B14" s="14" t="s">
        <v>272</v>
      </c>
      <c r="C14" s="29">
        <v>47</v>
      </c>
      <c r="D14" s="29">
        <v>18</v>
      </c>
      <c r="E14" s="29">
        <v>0</v>
      </c>
      <c r="F14" s="29">
        <v>242</v>
      </c>
      <c r="G14" s="14" t="s">
        <v>254</v>
      </c>
      <c r="H14" s="29">
        <v>1152</v>
      </c>
      <c r="I14" s="29">
        <v>841</v>
      </c>
      <c r="J14" s="29">
        <v>260</v>
      </c>
      <c r="K14" s="29">
        <v>892</v>
      </c>
      <c r="L14" s="14" t="s">
        <v>255</v>
      </c>
      <c r="M14" s="16" t="s">
        <v>273</v>
      </c>
    </row>
    <row r="15" ht="38" customHeight="1" spans="1:13">
      <c r="A15" s="14" t="s">
        <v>74</v>
      </c>
      <c r="B15" s="14" t="s">
        <v>274</v>
      </c>
      <c r="C15" s="29">
        <v>39</v>
      </c>
      <c r="D15" s="29">
        <v>36</v>
      </c>
      <c r="E15" s="29">
        <v>69</v>
      </c>
      <c r="F15" s="29">
        <v>334</v>
      </c>
      <c r="G15" s="14" t="s">
        <v>254</v>
      </c>
      <c r="H15" s="29">
        <v>720</v>
      </c>
      <c r="I15" s="29">
        <v>0</v>
      </c>
      <c r="J15" s="29">
        <v>439</v>
      </c>
      <c r="K15" s="29">
        <v>281</v>
      </c>
      <c r="L15" s="14" t="s">
        <v>269</v>
      </c>
      <c r="M15" s="16" t="s">
        <v>275</v>
      </c>
    </row>
    <row r="16" ht="38" customHeight="1" spans="1:13">
      <c r="A16" s="14" t="s">
        <v>78</v>
      </c>
      <c r="B16" s="14" t="s">
        <v>254</v>
      </c>
      <c r="C16" s="29">
        <v>5</v>
      </c>
      <c r="D16" s="29">
        <v>72</v>
      </c>
      <c r="E16" s="29">
        <v>536</v>
      </c>
      <c r="F16" s="29">
        <v>0</v>
      </c>
      <c r="G16" s="14" t="s">
        <v>254</v>
      </c>
      <c r="H16" s="29">
        <v>1164</v>
      </c>
      <c r="I16" s="29">
        <v>685</v>
      </c>
      <c r="J16" s="29">
        <v>608</v>
      </c>
      <c r="K16" s="29">
        <v>556</v>
      </c>
      <c r="L16" s="14" t="s">
        <v>255</v>
      </c>
      <c r="M16" s="16" t="s">
        <v>276</v>
      </c>
    </row>
    <row r="17" ht="38" customHeight="1" spans="1:13">
      <c r="A17" s="14" t="s">
        <v>84</v>
      </c>
      <c r="B17" s="14" t="s">
        <v>257</v>
      </c>
      <c r="C17" s="29">
        <v>7</v>
      </c>
      <c r="D17" s="29">
        <v>18</v>
      </c>
      <c r="E17" s="29">
        <v>197</v>
      </c>
      <c r="F17" s="29">
        <v>30</v>
      </c>
      <c r="G17" s="14" t="s">
        <v>254</v>
      </c>
      <c r="H17" s="29">
        <v>576</v>
      </c>
      <c r="I17" s="29">
        <v>174</v>
      </c>
      <c r="J17" s="29">
        <v>245</v>
      </c>
      <c r="K17" s="29">
        <v>331</v>
      </c>
      <c r="L17" s="14" t="s">
        <v>255</v>
      </c>
      <c r="M17" s="16" t="s">
        <v>277</v>
      </c>
    </row>
    <row r="18" ht="38" customHeight="1" spans="1:13">
      <c r="A18" s="14" t="s">
        <v>88</v>
      </c>
      <c r="B18" s="14" t="s">
        <v>266</v>
      </c>
      <c r="C18" s="29">
        <v>6</v>
      </c>
      <c r="D18" s="29">
        <v>64</v>
      </c>
      <c r="E18" s="29">
        <v>649</v>
      </c>
      <c r="F18" s="29">
        <v>63</v>
      </c>
      <c r="G18" s="14" t="s">
        <v>254</v>
      </c>
      <c r="H18" s="29">
        <v>1176</v>
      </c>
      <c r="I18" s="29">
        <v>0</v>
      </c>
      <c r="J18" s="29">
        <v>776</v>
      </c>
      <c r="K18" s="29">
        <v>400</v>
      </c>
      <c r="L18" s="14" t="s">
        <v>269</v>
      </c>
      <c r="M18" s="16" t="s">
        <v>278</v>
      </c>
    </row>
    <row r="19" ht="38" customHeight="1" spans="1:13">
      <c r="A19" s="14" t="s">
        <v>93</v>
      </c>
      <c r="B19" s="14" t="s">
        <v>274</v>
      </c>
      <c r="C19" s="29">
        <v>39</v>
      </c>
      <c r="D19" s="29">
        <v>23</v>
      </c>
      <c r="E19" s="29">
        <v>32</v>
      </c>
      <c r="F19" s="29">
        <v>188</v>
      </c>
      <c r="G19" s="14" t="s">
        <v>254</v>
      </c>
      <c r="H19" s="29">
        <v>288</v>
      </c>
      <c r="I19" s="29">
        <v>21</v>
      </c>
      <c r="J19" s="29">
        <v>243</v>
      </c>
      <c r="K19" s="29">
        <v>45</v>
      </c>
      <c r="L19" s="14" t="s">
        <v>279</v>
      </c>
      <c r="M19" s="16" t="s">
        <v>280</v>
      </c>
    </row>
    <row r="20" ht="38" customHeight="1" spans="1:13">
      <c r="A20" s="14" t="s">
        <v>96</v>
      </c>
      <c r="B20" s="14" t="s">
        <v>254</v>
      </c>
      <c r="C20" s="29">
        <v>5</v>
      </c>
      <c r="D20" s="29">
        <v>42</v>
      </c>
      <c r="E20" s="29">
        <v>306</v>
      </c>
      <c r="F20" s="29">
        <v>0</v>
      </c>
      <c r="G20" s="14" t="s">
        <v>254</v>
      </c>
      <c r="H20" s="29">
        <v>432</v>
      </c>
      <c r="I20" s="29">
        <v>0</v>
      </c>
      <c r="J20" s="29">
        <v>348</v>
      </c>
      <c r="K20" s="29">
        <v>84</v>
      </c>
      <c r="L20" s="14" t="s">
        <v>269</v>
      </c>
      <c r="M20" s="16" t="s">
        <v>281</v>
      </c>
    </row>
    <row r="21" ht="38" customHeight="1" spans="1:13">
      <c r="A21" s="14" t="s">
        <v>99</v>
      </c>
      <c r="B21" s="14" t="s">
        <v>282</v>
      </c>
      <c r="C21" s="29">
        <v>41</v>
      </c>
      <c r="D21" s="29">
        <v>32</v>
      </c>
      <c r="E21" s="29">
        <v>58</v>
      </c>
      <c r="F21" s="29">
        <v>421</v>
      </c>
      <c r="G21" s="14" t="s">
        <v>254</v>
      </c>
      <c r="H21" s="29">
        <v>588</v>
      </c>
      <c r="I21" s="29">
        <v>110</v>
      </c>
      <c r="J21" s="29">
        <v>511</v>
      </c>
      <c r="K21" s="29">
        <v>77</v>
      </c>
      <c r="L21" s="14" t="s">
        <v>255</v>
      </c>
      <c r="M21" s="16" t="s">
        <v>283</v>
      </c>
    </row>
    <row r="22" ht="38" customHeight="1" spans="1:13">
      <c r="A22" s="14" t="s">
        <v>102</v>
      </c>
      <c r="B22" s="14" t="s">
        <v>284</v>
      </c>
      <c r="C22" s="29">
        <v>18</v>
      </c>
      <c r="D22" s="29">
        <v>39</v>
      </c>
      <c r="E22" s="29">
        <v>361</v>
      </c>
      <c r="F22" s="29">
        <v>126</v>
      </c>
      <c r="G22" s="14" t="s">
        <v>254</v>
      </c>
      <c r="H22" s="29">
        <v>0</v>
      </c>
      <c r="I22" s="29">
        <v>0</v>
      </c>
      <c r="J22" s="29">
        <v>526</v>
      </c>
      <c r="K22" s="29">
        <v>-526</v>
      </c>
      <c r="L22" s="14" t="s">
        <v>285</v>
      </c>
      <c r="M22" s="16" t="s">
        <v>286</v>
      </c>
    </row>
    <row r="23" ht="38" customHeight="1" spans="1:13">
      <c r="A23" s="14" t="s">
        <v>105</v>
      </c>
      <c r="B23" s="14" t="s">
        <v>257</v>
      </c>
      <c r="C23" s="29">
        <v>7</v>
      </c>
      <c r="D23" s="29">
        <v>28</v>
      </c>
      <c r="E23" s="29">
        <v>178</v>
      </c>
      <c r="F23" s="29">
        <v>30</v>
      </c>
      <c r="G23" s="14" t="s">
        <v>254</v>
      </c>
      <c r="H23" s="29">
        <v>720</v>
      </c>
      <c r="I23" s="29">
        <v>0</v>
      </c>
      <c r="J23" s="29">
        <v>236</v>
      </c>
      <c r="K23" s="29">
        <v>484</v>
      </c>
      <c r="L23" s="14" t="s">
        <v>269</v>
      </c>
      <c r="M23" s="16" t="s">
        <v>287</v>
      </c>
    </row>
    <row r="24" ht="38" customHeight="1" spans="1:13">
      <c r="A24" s="14" t="s">
        <v>108</v>
      </c>
      <c r="B24" s="14" t="s">
        <v>288</v>
      </c>
      <c r="C24" s="29">
        <v>27</v>
      </c>
      <c r="D24" s="29">
        <v>13</v>
      </c>
      <c r="E24" s="29">
        <v>95</v>
      </c>
      <c r="F24" s="29">
        <v>150</v>
      </c>
      <c r="G24" s="14" t="s">
        <v>254</v>
      </c>
      <c r="H24" s="29">
        <v>432</v>
      </c>
      <c r="I24" s="29">
        <v>71</v>
      </c>
      <c r="J24" s="29">
        <v>258</v>
      </c>
      <c r="K24" s="29">
        <v>174</v>
      </c>
      <c r="L24" s="14" t="s">
        <v>255</v>
      </c>
      <c r="M24" s="16" t="s">
        <v>289</v>
      </c>
    </row>
    <row r="25" ht="38" customHeight="1" spans="1:13">
      <c r="A25" s="14" t="s">
        <v>111</v>
      </c>
      <c r="B25" s="14" t="s">
        <v>266</v>
      </c>
      <c r="C25" s="29">
        <v>6</v>
      </c>
      <c r="D25" s="29">
        <v>26</v>
      </c>
      <c r="E25" s="29">
        <v>263</v>
      </c>
      <c r="F25" s="29">
        <v>22</v>
      </c>
      <c r="G25" s="14" t="s">
        <v>254</v>
      </c>
      <c r="H25" s="29">
        <v>288</v>
      </c>
      <c r="I25" s="29">
        <v>0</v>
      </c>
      <c r="J25" s="29">
        <v>311</v>
      </c>
      <c r="K25" s="29">
        <v>-23</v>
      </c>
      <c r="L25" s="14" t="s">
        <v>285</v>
      </c>
      <c r="M25" s="16" t="s">
        <v>290</v>
      </c>
    </row>
    <row r="26" ht="38" customHeight="1" spans="1:13">
      <c r="A26" s="14" t="s">
        <v>115</v>
      </c>
      <c r="B26" s="14" t="s">
        <v>254</v>
      </c>
      <c r="C26" s="29">
        <v>5</v>
      </c>
      <c r="D26" s="29">
        <v>52</v>
      </c>
      <c r="E26" s="29">
        <v>437</v>
      </c>
      <c r="F26" s="29">
        <v>0</v>
      </c>
      <c r="G26" s="14" t="s">
        <v>254</v>
      </c>
      <c r="H26" s="29">
        <v>864</v>
      </c>
      <c r="I26" s="29">
        <v>0</v>
      </c>
      <c r="J26" s="29">
        <v>489</v>
      </c>
      <c r="K26" s="29">
        <v>375</v>
      </c>
      <c r="L26" s="14" t="s">
        <v>269</v>
      </c>
      <c r="M26" s="16" t="s">
        <v>291</v>
      </c>
    </row>
    <row r="27" ht="38" customHeight="1" spans="1:13">
      <c r="A27" s="14" t="s">
        <v>119</v>
      </c>
      <c r="B27" s="14" t="s">
        <v>292</v>
      </c>
      <c r="C27" s="29">
        <v>23</v>
      </c>
      <c r="D27" s="29">
        <v>15</v>
      </c>
      <c r="E27" s="29">
        <v>64</v>
      </c>
      <c r="F27" s="29">
        <v>80</v>
      </c>
      <c r="G27" s="14" t="s">
        <v>254</v>
      </c>
      <c r="H27" s="29">
        <v>576</v>
      </c>
      <c r="I27" s="29">
        <v>0</v>
      </c>
      <c r="J27" s="29">
        <v>159</v>
      </c>
      <c r="K27" s="29">
        <v>417</v>
      </c>
      <c r="L27" s="14" t="s">
        <v>269</v>
      </c>
      <c r="M27" s="16" t="s">
        <v>293</v>
      </c>
    </row>
    <row r="28" ht="38" customHeight="1" spans="1:13">
      <c r="A28" s="14" t="s">
        <v>122</v>
      </c>
      <c r="B28" s="14" t="s">
        <v>294</v>
      </c>
      <c r="C28" s="29">
        <v>24</v>
      </c>
      <c r="D28" s="29">
        <v>28</v>
      </c>
      <c r="E28" s="29">
        <v>266</v>
      </c>
      <c r="F28" s="29">
        <v>231</v>
      </c>
      <c r="G28" s="14" t="s">
        <v>254</v>
      </c>
      <c r="H28" s="29">
        <v>576</v>
      </c>
      <c r="I28" s="29">
        <v>9</v>
      </c>
      <c r="J28" s="29">
        <v>525</v>
      </c>
      <c r="K28" s="29">
        <v>51</v>
      </c>
      <c r="L28" s="14" t="s">
        <v>279</v>
      </c>
      <c r="M28" s="16" t="s">
        <v>295</v>
      </c>
    </row>
    <row r="29" ht="38" customHeight="1" spans="1:13">
      <c r="A29" s="14" t="s">
        <v>125</v>
      </c>
      <c r="B29" s="14" t="s">
        <v>296</v>
      </c>
      <c r="C29" s="29" t="s">
        <v>296</v>
      </c>
      <c r="D29" s="29">
        <v>0</v>
      </c>
      <c r="E29" s="29">
        <v>0</v>
      </c>
      <c r="F29" s="29">
        <v>0</v>
      </c>
      <c r="G29" s="14" t="s">
        <v>296</v>
      </c>
      <c r="H29" s="29">
        <v>432</v>
      </c>
      <c r="I29" s="29">
        <v>0</v>
      </c>
      <c r="J29" s="29">
        <v>0</v>
      </c>
      <c r="K29" s="29">
        <v>432</v>
      </c>
      <c r="L29" s="14" t="s">
        <v>297</v>
      </c>
      <c r="M29" s="16" t="s">
        <v>298</v>
      </c>
    </row>
    <row r="30" ht="38" customHeight="1" spans="1:13">
      <c r="A30" s="14" t="s">
        <v>126</v>
      </c>
      <c r="B30" s="14" t="s">
        <v>296</v>
      </c>
      <c r="C30" s="29" t="s">
        <v>296</v>
      </c>
      <c r="D30" s="29">
        <v>0</v>
      </c>
      <c r="E30" s="29">
        <v>0</v>
      </c>
      <c r="F30" s="29">
        <v>0</v>
      </c>
      <c r="G30" s="14" t="s">
        <v>296</v>
      </c>
      <c r="H30" s="29">
        <v>588</v>
      </c>
      <c r="I30" s="29">
        <v>0</v>
      </c>
      <c r="J30" s="29">
        <v>0</v>
      </c>
      <c r="K30" s="29">
        <v>588</v>
      </c>
      <c r="L30" s="14" t="s">
        <v>297</v>
      </c>
      <c r="M30" s="16" t="s">
        <v>298</v>
      </c>
    </row>
    <row r="31" ht="28.75" spans="1:13">
      <c r="A31" s="30" t="s">
        <v>299</v>
      </c>
      <c r="B31" s="30" t="s">
        <v>254</v>
      </c>
      <c r="C31" s="31">
        <v>5</v>
      </c>
      <c r="D31" s="31">
        <v>505</v>
      </c>
      <c r="E31" s="31" t="s">
        <v>296</v>
      </c>
      <c r="F31" s="31" t="s">
        <v>296</v>
      </c>
      <c r="G31" s="30" t="s">
        <v>254</v>
      </c>
      <c r="H31" s="31">
        <v>16488</v>
      </c>
      <c r="I31" s="31">
        <v>3564</v>
      </c>
      <c r="J31" s="31">
        <v>9417</v>
      </c>
      <c r="K31" s="31">
        <v>7071</v>
      </c>
      <c r="L31" s="30" t="s">
        <v>300</v>
      </c>
      <c r="M31" s="30" t="s">
        <v>301</v>
      </c>
    </row>
    <row r="32" ht="15.95"/>
  </sheetData>
  <mergeCells count="2">
    <mergeCell ref="A1:M1"/>
    <mergeCell ref="A2:M2"/>
  </mergeCells>
  <conditionalFormatting sqref="L5:L30">
    <cfRule type="containsText" dxfId="6" priority="1" operator="between" text="足够">
      <formula>NOT(ISERROR(SEARCH("足够",L5)))</formula>
    </cfRule>
    <cfRule type="containsText" dxfId="7" priority="2" operator="between" text="偏紧">
      <formula>NOT(ISERROR(SEARCH("偏紧",L5)))</formula>
    </cfRule>
    <cfRule type="containsText" dxfId="0" priority="3" operator="between" text="无法判断">
      <formula>NOT(ISERROR(SEARCH("无法判断",L5)))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showGridLines="0" workbookViewId="0">
      <selection activeCell="A1" sqref="A1:E1"/>
    </sheetView>
  </sheetViews>
  <sheetFormatPr defaultColWidth="9" defaultRowHeight="15.2"/>
  <cols>
    <col min="1" max="1" width="28" customWidth="1"/>
    <col min="2" max="4" width="18" customWidth="1"/>
    <col min="5" max="5" width="21" customWidth="1"/>
    <col min="7" max="7" width="18" customWidth="1"/>
    <col min="8" max="11" width="19" customWidth="1"/>
    <col min="12" max="12" width="24" customWidth="1"/>
  </cols>
  <sheetData>
    <row r="1" ht="30" customHeight="1" spans="1:12">
      <c r="A1" s="1" t="s">
        <v>302</v>
      </c>
      <c r="B1" s="1"/>
      <c r="C1" s="1"/>
      <c r="D1" s="1"/>
      <c r="E1" s="1"/>
      <c r="G1" s="24" t="s">
        <v>303</v>
      </c>
      <c r="H1" s="24"/>
      <c r="I1" s="24"/>
      <c r="J1" s="24"/>
      <c r="K1" s="24"/>
      <c r="L1" s="24"/>
    </row>
    <row r="2" ht="34" customHeight="1" spans="1:12">
      <c r="A2" s="18" t="s">
        <v>304</v>
      </c>
      <c r="B2" s="18"/>
      <c r="C2" s="18"/>
      <c r="D2" s="18"/>
      <c r="E2" s="18"/>
    </row>
    <row r="4" spans="1:12">
      <c r="A4" s="6" t="s">
        <v>5</v>
      </c>
      <c r="B4" s="6" t="s">
        <v>305</v>
      </c>
      <c r="C4" s="6" t="s">
        <v>306</v>
      </c>
      <c r="D4" s="6" t="s">
        <v>307</v>
      </c>
      <c r="E4" s="6" t="s">
        <v>308</v>
      </c>
      <c r="G4" s="6" t="s">
        <v>309</v>
      </c>
      <c r="H4" s="6" t="s">
        <v>305</v>
      </c>
      <c r="I4" s="6" t="s">
        <v>306</v>
      </c>
      <c r="J4" s="6" t="s">
        <v>307</v>
      </c>
      <c r="K4" s="6" t="s">
        <v>310</v>
      </c>
      <c r="L4" s="6" t="s">
        <v>311</v>
      </c>
    </row>
    <row r="5" spans="1:12">
      <c r="A5" s="7" t="s">
        <v>20</v>
      </c>
      <c r="B5" s="8">
        <f>'2026进货数量'!G5</f>
        <v>432</v>
      </c>
      <c r="C5" s="8">
        <v>432</v>
      </c>
      <c r="D5" s="8">
        <f t="shared" ref="D5:D31" si="0">C5-B5</f>
        <v>0</v>
      </c>
      <c r="E5" s="7" t="str">
        <f t="shared" ref="E5:E30" si="1">IF(D5=0,"匹配",IF(B5=0,"数据库多出",IF(C5=0,"数据库缺失","部分匹配")))</f>
        <v>匹配</v>
      </c>
      <c r="G5" s="7" t="s">
        <v>21</v>
      </c>
      <c r="H5" s="8">
        <v>5328</v>
      </c>
      <c r="I5" s="8">
        <v>1584</v>
      </c>
      <c r="J5" s="8">
        <f t="shared" ref="J5:J10" si="2">I5-H5</f>
        <v>-3744</v>
      </c>
      <c r="K5" s="9">
        <f t="shared" ref="K5:K10" si="3">IF(H5=0,0,I5/H5)</f>
        <v>0.297297297297297</v>
      </c>
      <c r="L5" s="7" t="str">
        <f>IF(J5=0,"匹配","不匹配")</f>
        <v>不匹配</v>
      </c>
    </row>
    <row r="6" spans="1:12">
      <c r="A6" s="7" t="s">
        <v>39</v>
      </c>
      <c r="B6" s="8">
        <f>'2026进货数量'!G6</f>
        <v>720</v>
      </c>
      <c r="C6" s="8">
        <v>720</v>
      </c>
      <c r="D6" s="8">
        <f t="shared" si="0"/>
        <v>0</v>
      </c>
      <c r="E6" s="7" t="str">
        <f t="shared" si="1"/>
        <v>匹配</v>
      </c>
      <c r="G6" s="7" t="s">
        <v>25</v>
      </c>
      <c r="H6" s="8">
        <v>4032</v>
      </c>
      <c r="I6" s="8">
        <v>1584</v>
      </c>
      <c r="J6" s="8">
        <f t="shared" si="2"/>
        <v>-2448</v>
      </c>
      <c r="K6" s="9">
        <f t="shared" si="3"/>
        <v>0.392857142857143</v>
      </c>
      <c r="L6" s="7" t="str">
        <f>IF(J6=0,"匹配","不匹配")</f>
        <v>不匹配</v>
      </c>
    </row>
    <row r="7" spans="1:12">
      <c r="A7" s="7" t="s">
        <v>43</v>
      </c>
      <c r="B7" s="8">
        <f>'2026进货数量'!G7</f>
        <v>864</v>
      </c>
      <c r="C7" s="8">
        <v>864</v>
      </c>
      <c r="D7" s="8">
        <f t="shared" si="0"/>
        <v>0</v>
      </c>
      <c r="E7" s="7" t="str">
        <f t="shared" si="1"/>
        <v>匹配</v>
      </c>
      <c r="G7" s="7" t="s">
        <v>28</v>
      </c>
      <c r="H7" s="8">
        <v>5040</v>
      </c>
      <c r="I7" s="8">
        <v>1872</v>
      </c>
      <c r="J7" s="8">
        <f t="shared" si="2"/>
        <v>-3168</v>
      </c>
      <c r="K7" s="9">
        <f t="shared" si="3"/>
        <v>0.371428571428571</v>
      </c>
      <c r="L7" s="7" t="str">
        <f>IF(J7=0,"匹配","不匹配")</f>
        <v>不匹配</v>
      </c>
    </row>
    <row r="8" spans="1:12">
      <c r="A8" s="7" t="s">
        <v>47</v>
      </c>
      <c r="B8" s="8">
        <f>'2026进货数量'!G8</f>
        <v>720</v>
      </c>
      <c r="C8" s="8">
        <v>720</v>
      </c>
      <c r="D8" s="8">
        <f t="shared" si="0"/>
        <v>0</v>
      </c>
      <c r="E8" s="7" t="str">
        <f t="shared" si="1"/>
        <v>匹配</v>
      </c>
      <c r="G8" s="7" t="s">
        <v>32</v>
      </c>
      <c r="H8" s="8">
        <v>1200</v>
      </c>
      <c r="I8" s="8">
        <v>300</v>
      </c>
      <c r="J8" s="8">
        <f t="shared" si="2"/>
        <v>-900</v>
      </c>
      <c r="K8" s="9">
        <f t="shared" si="3"/>
        <v>0.25</v>
      </c>
      <c r="L8" s="7" t="str">
        <f>IF(J8=0,"匹配","不匹配")</f>
        <v>不匹配</v>
      </c>
    </row>
    <row r="9" spans="1:12">
      <c r="A9" s="7" t="s">
        <v>51</v>
      </c>
      <c r="B9" s="8">
        <f>'2026进货数量'!G9</f>
        <v>432</v>
      </c>
      <c r="C9" s="8">
        <v>0</v>
      </c>
      <c r="D9" s="8">
        <f t="shared" si="0"/>
        <v>-432</v>
      </c>
      <c r="E9" s="7" t="str">
        <f t="shared" si="1"/>
        <v>数据库缺失</v>
      </c>
      <c r="G9" s="7" t="s">
        <v>36</v>
      </c>
      <c r="H9" s="8">
        <v>600</v>
      </c>
      <c r="I9" s="8">
        <v>0</v>
      </c>
      <c r="J9" s="8">
        <f t="shared" si="2"/>
        <v>-600</v>
      </c>
      <c r="K9" s="9">
        <f t="shared" si="3"/>
        <v>0</v>
      </c>
      <c r="L9" s="7" t="str">
        <f>IF(J9=0,"匹配","不匹配")</f>
        <v>不匹配</v>
      </c>
    </row>
    <row r="10" ht="15.95" spans="1:12">
      <c r="A10" s="7" t="s">
        <v>54</v>
      </c>
      <c r="B10" s="8">
        <f>'2026进货数量'!G10</f>
        <v>288</v>
      </c>
      <c r="C10" s="8">
        <v>0</v>
      </c>
      <c r="D10" s="8">
        <f t="shared" si="0"/>
        <v>-288</v>
      </c>
      <c r="E10" s="7" t="str">
        <f t="shared" si="1"/>
        <v>数据库缺失</v>
      </c>
      <c r="G10" s="10" t="s">
        <v>312</v>
      </c>
      <c r="H10" s="11">
        <v>16200</v>
      </c>
      <c r="I10" s="11">
        <v>5340</v>
      </c>
      <c r="J10" s="11">
        <f t="shared" si="2"/>
        <v>-10860</v>
      </c>
      <c r="K10" s="12">
        <f t="shared" si="3"/>
        <v>0.32962962962963</v>
      </c>
      <c r="L10" s="10" t="s">
        <v>313</v>
      </c>
    </row>
    <row r="11" ht="15.95" spans="1:12">
      <c r="A11" s="7" t="s">
        <v>57</v>
      </c>
      <c r="B11" s="8">
        <f>'2026进货数量'!G11</f>
        <v>1164</v>
      </c>
      <c r="C11" s="8">
        <v>1164</v>
      </c>
      <c r="D11" s="8">
        <f t="shared" si="0"/>
        <v>0</v>
      </c>
      <c r="E11" s="7" t="str">
        <f t="shared" si="1"/>
        <v>匹配</v>
      </c>
    </row>
    <row r="12" spans="1:12">
      <c r="A12" s="7" t="s">
        <v>63</v>
      </c>
      <c r="B12" s="8">
        <f>'2026进货数量'!G12</f>
        <v>576</v>
      </c>
      <c r="C12" s="8">
        <v>0</v>
      </c>
      <c r="D12" s="8">
        <f t="shared" si="0"/>
        <v>-576</v>
      </c>
      <c r="E12" s="7" t="str">
        <f t="shared" si="1"/>
        <v>数据库缺失</v>
      </c>
    </row>
    <row r="13" spans="1:12">
      <c r="A13" s="7" t="s">
        <v>66</v>
      </c>
      <c r="B13" s="8">
        <f>'2026进货数量'!G13</f>
        <v>720</v>
      </c>
      <c r="C13" s="8">
        <v>0</v>
      </c>
      <c r="D13" s="8">
        <f t="shared" si="0"/>
        <v>-720</v>
      </c>
      <c r="E13" s="7" t="str">
        <f t="shared" si="1"/>
        <v>数据库缺失</v>
      </c>
      <c r="G13" s="2" t="s">
        <v>314</v>
      </c>
      <c r="H13" s="2"/>
      <c r="I13" s="2"/>
      <c r="J13" s="2"/>
      <c r="K13" s="2"/>
      <c r="L13" s="2"/>
    </row>
    <row r="14" ht="16" spans="1:12">
      <c r="A14" s="7" t="s">
        <v>70</v>
      </c>
      <c r="B14" s="8">
        <f>'2026进货数量'!G14</f>
        <v>1152</v>
      </c>
      <c r="C14" s="8">
        <v>0</v>
      </c>
      <c r="D14" s="8">
        <f t="shared" si="0"/>
        <v>-1152</v>
      </c>
      <c r="E14" s="7" t="str">
        <f t="shared" si="1"/>
        <v>数据库缺失</v>
      </c>
      <c r="G14" s="26" t="s">
        <v>315</v>
      </c>
      <c r="H14" s="27" t="s">
        <v>316</v>
      </c>
      <c r="I14" s="27"/>
      <c r="J14" s="27"/>
      <c r="K14" s="27"/>
      <c r="L14" s="27"/>
    </row>
    <row r="15" ht="16" spans="1:12">
      <c r="A15" s="7" t="s">
        <v>74</v>
      </c>
      <c r="B15" s="8">
        <f>'2026进货数量'!G15</f>
        <v>720</v>
      </c>
      <c r="C15" s="8">
        <v>720</v>
      </c>
      <c r="D15" s="8">
        <f t="shared" si="0"/>
        <v>0</v>
      </c>
      <c r="E15" s="7" t="str">
        <f t="shared" si="1"/>
        <v>匹配</v>
      </c>
      <c r="G15" s="26" t="s">
        <v>317</v>
      </c>
      <c r="H15" s="27" t="s">
        <v>318</v>
      </c>
      <c r="I15" s="27"/>
      <c r="J15" s="27"/>
      <c r="K15" s="27"/>
      <c r="L15" s="27"/>
    </row>
    <row r="16" ht="16" spans="1:12">
      <c r="A16" s="7" t="s">
        <v>78</v>
      </c>
      <c r="B16" s="8">
        <f>'2026进货数量'!G16</f>
        <v>1164</v>
      </c>
      <c r="C16" s="8">
        <v>0</v>
      </c>
      <c r="D16" s="8">
        <f t="shared" si="0"/>
        <v>-1164</v>
      </c>
      <c r="E16" s="7" t="str">
        <f t="shared" si="1"/>
        <v>数据库缺失</v>
      </c>
      <c r="G16" s="26" t="s">
        <v>319</v>
      </c>
      <c r="H16" s="27" t="s">
        <v>320</v>
      </c>
      <c r="I16" s="27"/>
      <c r="J16" s="27"/>
      <c r="K16" s="27"/>
      <c r="L16" s="27"/>
    </row>
    <row r="17" ht="16" spans="1:12">
      <c r="A17" s="7" t="s">
        <v>84</v>
      </c>
      <c r="B17" s="8">
        <f>'2026进货数量'!G17</f>
        <v>576</v>
      </c>
      <c r="C17" s="8">
        <v>0</v>
      </c>
      <c r="D17" s="8">
        <f t="shared" si="0"/>
        <v>-576</v>
      </c>
      <c r="E17" s="7" t="str">
        <f t="shared" si="1"/>
        <v>数据库缺失</v>
      </c>
      <c r="G17" s="26" t="s">
        <v>321</v>
      </c>
      <c r="H17" s="27" t="s">
        <v>322</v>
      </c>
      <c r="I17" s="27"/>
      <c r="J17" s="27"/>
      <c r="K17" s="27"/>
      <c r="L17" s="27"/>
    </row>
    <row r="18" ht="16" spans="1:12">
      <c r="A18" s="7" t="s">
        <v>88</v>
      </c>
      <c r="B18" s="8">
        <f>'2026进货数量'!G18</f>
        <v>1176</v>
      </c>
      <c r="C18" s="8">
        <v>0</v>
      </c>
      <c r="D18" s="8">
        <f t="shared" si="0"/>
        <v>-1176</v>
      </c>
      <c r="E18" s="7" t="str">
        <f t="shared" si="1"/>
        <v>数据库缺失</v>
      </c>
      <c r="G18" s="26" t="s">
        <v>323</v>
      </c>
      <c r="H18" s="27" t="s">
        <v>324</v>
      </c>
      <c r="I18" s="27"/>
      <c r="J18" s="27"/>
      <c r="K18" s="27"/>
      <c r="L18" s="27"/>
    </row>
    <row r="19" ht="16" spans="1:12">
      <c r="A19" s="7" t="s">
        <v>93</v>
      </c>
      <c r="B19" s="8">
        <f>'2026进货数量'!G19</f>
        <v>288</v>
      </c>
      <c r="C19" s="8">
        <v>0</v>
      </c>
      <c r="D19" s="8">
        <f t="shared" si="0"/>
        <v>-288</v>
      </c>
      <c r="E19" s="7" t="str">
        <f t="shared" si="1"/>
        <v>数据库缺失</v>
      </c>
      <c r="G19" s="26" t="s">
        <v>325</v>
      </c>
      <c r="H19" s="27" t="s">
        <v>326</v>
      </c>
      <c r="I19" s="27"/>
      <c r="J19" s="27"/>
      <c r="K19" s="27"/>
      <c r="L19" s="27"/>
    </row>
    <row r="20" spans="1:12">
      <c r="A20" s="7" t="s">
        <v>96</v>
      </c>
      <c r="B20" s="8">
        <f>'2026进货数量'!G20</f>
        <v>432</v>
      </c>
      <c r="C20" s="8">
        <v>0</v>
      </c>
      <c r="D20" s="8">
        <f t="shared" si="0"/>
        <v>-432</v>
      </c>
      <c r="E20" s="7" t="str">
        <f t="shared" si="1"/>
        <v>数据库缺失</v>
      </c>
    </row>
    <row r="21" spans="1:12">
      <c r="A21" s="7" t="s">
        <v>99</v>
      </c>
      <c r="B21" s="8">
        <f>'2026进货数量'!G21</f>
        <v>588</v>
      </c>
      <c r="C21" s="8">
        <v>0</v>
      </c>
      <c r="D21" s="8">
        <f t="shared" si="0"/>
        <v>-588</v>
      </c>
      <c r="E21" s="7" t="str">
        <f t="shared" si="1"/>
        <v>数据库缺失</v>
      </c>
    </row>
    <row r="22" spans="1:12">
      <c r="A22" s="7" t="s">
        <v>102</v>
      </c>
      <c r="B22" s="8">
        <f>'2026进货数量'!G22</f>
        <v>0</v>
      </c>
      <c r="C22" s="8">
        <v>0</v>
      </c>
      <c r="D22" s="8">
        <f t="shared" si="0"/>
        <v>0</v>
      </c>
      <c r="E22" s="7" t="str">
        <f t="shared" si="1"/>
        <v>匹配</v>
      </c>
    </row>
    <row r="23" spans="1:12">
      <c r="A23" s="7" t="s">
        <v>105</v>
      </c>
      <c r="B23" s="8">
        <f>'2026进货数量'!G23</f>
        <v>720</v>
      </c>
      <c r="C23" s="8">
        <v>0</v>
      </c>
      <c r="D23" s="8">
        <f t="shared" si="0"/>
        <v>-720</v>
      </c>
      <c r="E23" s="7" t="str">
        <f t="shared" si="1"/>
        <v>数据库缺失</v>
      </c>
    </row>
    <row r="24" spans="1:12">
      <c r="A24" s="7" t="s">
        <v>108</v>
      </c>
      <c r="B24" s="8">
        <f>'2026进货数量'!G24</f>
        <v>432</v>
      </c>
      <c r="C24" s="8">
        <v>0</v>
      </c>
      <c r="D24" s="8">
        <f t="shared" si="0"/>
        <v>-432</v>
      </c>
      <c r="E24" s="7" t="str">
        <f t="shared" si="1"/>
        <v>数据库缺失</v>
      </c>
    </row>
    <row r="25" spans="1:12">
      <c r="A25" s="7" t="s">
        <v>111</v>
      </c>
      <c r="B25" s="8">
        <f>'2026进货数量'!G25</f>
        <v>0</v>
      </c>
      <c r="C25" s="8">
        <v>288</v>
      </c>
      <c r="D25" s="8">
        <f t="shared" si="0"/>
        <v>288</v>
      </c>
      <c r="E25" s="7" t="str">
        <f t="shared" si="1"/>
        <v>数据库多出</v>
      </c>
    </row>
    <row r="26" spans="1:12">
      <c r="A26" s="7" t="s">
        <v>115</v>
      </c>
      <c r="B26" s="8">
        <f>'2026进货数量'!G26</f>
        <v>864</v>
      </c>
      <c r="C26" s="8">
        <v>0</v>
      </c>
      <c r="D26" s="8">
        <f t="shared" si="0"/>
        <v>-864</v>
      </c>
      <c r="E26" s="7" t="str">
        <f t="shared" si="1"/>
        <v>数据库缺失</v>
      </c>
    </row>
    <row r="27" spans="1:12">
      <c r="A27" s="7" t="s">
        <v>119</v>
      </c>
      <c r="B27" s="8">
        <f>'2026进货数量'!G27</f>
        <v>576</v>
      </c>
      <c r="C27" s="8">
        <v>0</v>
      </c>
      <c r="D27" s="8">
        <f t="shared" si="0"/>
        <v>-576</v>
      </c>
      <c r="E27" s="7" t="str">
        <f t="shared" si="1"/>
        <v>数据库缺失</v>
      </c>
    </row>
    <row r="28" spans="1:12">
      <c r="A28" s="7" t="s">
        <v>122</v>
      </c>
      <c r="B28" s="8">
        <f>'2026进货数量'!G28</f>
        <v>576</v>
      </c>
      <c r="C28" s="8">
        <v>432</v>
      </c>
      <c r="D28" s="8">
        <f t="shared" si="0"/>
        <v>-144</v>
      </c>
      <c r="E28" s="7" t="str">
        <f t="shared" si="1"/>
        <v>部分匹配</v>
      </c>
    </row>
    <row r="29" spans="1:12">
      <c r="A29" s="7" t="s">
        <v>125</v>
      </c>
      <c r="B29" s="8">
        <f>'2026进货数量'!G29</f>
        <v>432</v>
      </c>
      <c r="C29" s="8">
        <v>0</v>
      </c>
      <c r="D29" s="8">
        <f t="shared" si="0"/>
        <v>-432</v>
      </c>
      <c r="E29" s="7" t="str">
        <f t="shared" si="1"/>
        <v>数据库缺失</v>
      </c>
    </row>
    <row r="30" spans="1:12">
      <c r="A30" s="7" t="s">
        <v>126</v>
      </c>
      <c r="B30" s="8">
        <f>'2026进货数量'!G30</f>
        <v>588</v>
      </c>
      <c r="C30" s="8">
        <v>0</v>
      </c>
      <c r="D30" s="8">
        <f t="shared" si="0"/>
        <v>-588</v>
      </c>
      <c r="E30" s="7" t="str">
        <f t="shared" si="1"/>
        <v>数据库缺失</v>
      </c>
    </row>
    <row r="31" ht="15.95" spans="1:12">
      <c r="A31" s="10" t="s">
        <v>327</v>
      </c>
      <c r="B31" s="11">
        <f>SUM(B5:B30)</f>
        <v>16200</v>
      </c>
      <c r="C31" s="11">
        <f>SUM(C5:C30)</f>
        <v>5340</v>
      </c>
      <c r="D31" s="11">
        <f t="shared" si="0"/>
        <v>-10860</v>
      </c>
      <c r="E31" s="10" t="str">
        <f>IF(D31=0,"全部匹配","数据库仅部分覆盖")</f>
        <v>数据库仅部分覆盖</v>
      </c>
    </row>
    <row r="32" ht="15.95"/>
  </sheetData>
  <mergeCells count="10">
    <mergeCell ref="A1:E1"/>
    <mergeCell ref="G1:L1"/>
    <mergeCell ref="A2:E2"/>
    <mergeCell ref="G13:L13"/>
    <mergeCell ref="H14:L14"/>
    <mergeCell ref="H15:L15"/>
    <mergeCell ref="H16:L16"/>
    <mergeCell ref="H17:L17"/>
    <mergeCell ref="H18:L18"/>
    <mergeCell ref="H19:L19"/>
  </mergeCells>
  <conditionalFormatting sqref="D5:D30">
    <cfRule type="cellIs" dxfId="0" priority="1" operator="notEqual">
      <formula>0</formula>
    </cfRule>
  </conditionalFormatting>
  <conditionalFormatting sqref="E5:E30">
    <cfRule type="cellIs" dxfId="2" priority="2" operator="equal">
      <formula>"匹配"</formula>
    </cfRule>
    <cfRule type="containsText" dxfId="0" priority="3" operator="between" text="数据库">
      <formula>NOT(ISERROR(SEARCH("数据库",E5)))</formula>
    </cfRule>
    <cfRule type="containsText" dxfId="7" priority="4" operator="between" text="部分">
      <formula>NOT(ISERROR(SEARCH("部分",E5)))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showGridLines="0" workbookViewId="0">
      <selection activeCell="A1" sqref="A1:G1"/>
    </sheetView>
  </sheetViews>
  <sheetFormatPr defaultColWidth="9" defaultRowHeight="15.2"/>
  <cols>
    <col min="1" max="1" width="26" customWidth="1"/>
    <col min="2" max="7" width="18" customWidth="1"/>
    <col min="9" max="9" width="15" customWidth="1"/>
    <col min="10" max="13" width="17" customWidth="1"/>
    <col min="14" max="14" width="29" customWidth="1"/>
  </cols>
  <sheetData>
    <row r="1" ht="30" customHeight="1" spans="1:14">
      <c r="A1" s="1" t="s">
        <v>328</v>
      </c>
      <c r="B1" s="1"/>
      <c r="C1" s="1"/>
      <c r="D1" s="1"/>
      <c r="E1" s="1"/>
      <c r="F1" s="1"/>
      <c r="G1" s="1"/>
      <c r="I1" s="24" t="s">
        <v>329</v>
      </c>
      <c r="J1" s="24"/>
      <c r="K1" s="24"/>
      <c r="L1" s="24"/>
      <c r="M1" s="24"/>
      <c r="N1" s="24"/>
    </row>
    <row r="2" ht="32" customHeight="1" spans="1:14">
      <c r="A2" s="18" t="s">
        <v>330</v>
      </c>
      <c r="B2" s="18"/>
      <c r="C2" s="18"/>
      <c r="D2" s="18"/>
      <c r="E2" s="18"/>
      <c r="F2" s="18"/>
      <c r="G2" s="18"/>
    </row>
    <row r="4" ht="16" spans="1:14">
      <c r="A4" s="25" t="s">
        <v>5</v>
      </c>
      <c r="B4" s="25" t="s">
        <v>331</v>
      </c>
      <c r="C4" s="25" t="s">
        <v>12</v>
      </c>
      <c r="D4" s="25" t="s">
        <v>332</v>
      </c>
      <c r="E4" s="25" t="s">
        <v>333</v>
      </c>
      <c r="F4" s="25" t="s">
        <v>334</v>
      </c>
      <c r="G4" s="25" t="s">
        <v>335</v>
      </c>
      <c r="I4" s="6" t="s">
        <v>309</v>
      </c>
      <c r="J4" s="6" t="s">
        <v>331</v>
      </c>
      <c r="K4" s="6" t="s">
        <v>12</v>
      </c>
      <c r="L4" s="6" t="s">
        <v>332</v>
      </c>
      <c r="M4" s="6" t="s">
        <v>333</v>
      </c>
      <c r="N4" s="6" t="s">
        <v>8</v>
      </c>
    </row>
    <row r="5" spans="1:14">
      <c r="A5" s="7" t="s">
        <v>20</v>
      </c>
      <c r="B5" s="8">
        <f>SUM(综合明细!G5:G9)</f>
        <v>0</v>
      </c>
      <c r="C5" s="8">
        <f>SUM(综合明细!H5:H9)</f>
        <v>107</v>
      </c>
      <c r="D5" s="8">
        <f>SUM(综合明细!I5:I9)</f>
        <v>43</v>
      </c>
      <c r="E5" s="8">
        <f t="shared" ref="E5:E30" si="0">SUM(B5:D5)</f>
        <v>150</v>
      </c>
      <c r="F5" s="9">
        <f t="shared" ref="F5:F31" si="1">IF(E5=0,0,B5/E5)</f>
        <v>0</v>
      </c>
      <c r="G5" s="9">
        <f t="shared" ref="G5:G31" si="2">IF(E5=0,0,C5/E5)</f>
        <v>0.713333333333333</v>
      </c>
      <c r="I5" s="7" t="s">
        <v>21</v>
      </c>
      <c r="J5" s="8">
        <f>SUMIF(综合明细!$B$5:$B$134,I5,综合明细!$G$5:$G$134)</f>
        <v>0</v>
      </c>
      <c r="K5" s="8">
        <f>SUMIF(综合明细!$B$5:$B$134,I5,综合明细!$H$5:$H$134)</f>
        <v>3067</v>
      </c>
      <c r="L5" s="8">
        <f>SUMIF(综合明细!$B$5:$B$134,I5,综合明细!$I$5:$I$134)</f>
        <v>0</v>
      </c>
      <c r="M5" s="8">
        <f>SUM(J5:L5)</f>
        <v>3067</v>
      </c>
      <c r="N5" s="7" t="s">
        <v>23</v>
      </c>
    </row>
    <row r="6" spans="1:14">
      <c r="A6" s="7" t="s">
        <v>39</v>
      </c>
      <c r="B6" s="8">
        <f>SUM(综合明细!G10:G14)</f>
        <v>0</v>
      </c>
      <c r="C6" s="8">
        <f>SUM(综合明细!H10:H14)</f>
        <v>355</v>
      </c>
      <c r="D6" s="8">
        <f>SUM(综合明细!I10:I14)</f>
        <v>97</v>
      </c>
      <c r="E6" s="8">
        <f t="shared" si="0"/>
        <v>452</v>
      </c>
      <c r="F6" s="9">
        <f t="shared" si="1"/>
        <v>0</v>
      </c>
      <c r="G6" s="9">
        <f t="shared" si="2"/>
        <v>0.785398230088496</v>
      </c>
      <c r="I6" s="7" t="s">
        <v>25</v>
      </c>
      <c r="J6" s="8">
        <f>SUMIF(综合明细!$B$5:$B$134,I6,综合明细!$G$5:$G$134)</f>
        <v>0</v>
      </c>
      <c r="K6" s="8">
        <f>SUMIF(综合明细!$B$5:$B$134,I6,综合明细!$H$5:$H$134)</f>
        <v>2391</v>
      </c>
      <c r="L6" s="8">
        <f>SUMIF(综合明细!$B$5:$B$134,I6,综合明细!$I$5:$I$134)</f>
        <v>0</v>
      </c>
      <c r="M6" s="8">
        <f>SUM(J6:L6)</f>
        <v>2391</v>
      </c>
      <c r="N6" s="7" t="s">
        <v>23</v>
      </c>
    </row>
    <row r="7" spans="1:14">
      <c r="A7" s="7" t="s">
        <v>43</v>
      </c>
      <c r="B7" s="8">
        <f>SUM(综合明细!G15:G19)</f>
        <v>0</v>
      </c>
      <c r="C7" s="8">
        <f>SUM(综合明细!H15:H19)</f>
        <v>398</v>
      </c>
      <c r="D7" s="8">
        <f>SUM(综合明细!I15:I19)</f>
        <v>167</v>
      </c>
      <c r="E7" s="8">
        <f t="shared" si="0"/>
        <v>565</v>
      </c>
      <c r="F7" s="9">
        <f t="shared" si="1"/>
        <v>0</v>
      </c>
      <c r="G7" s="9">
        <f t="shared" si="2"/>
        <v>0.704424778761062</v>
      </c>
      <c r="I7" s="7" t="s">
        <v>28</v>
      </c>
      <c r="J7" s="8">
        <f>SUMIF(综合明细!$B$5:$B$134,I7,综合明细!$G$5:$G$134)</f>
        <v>0</v>
      </c>
      <c r="K7" s="8">
        <f>SUMIF(综合明细!$B$5:$B$134,I7,综合明细!$H$5:$H$134)</f>
        <v>0</v>
      </c>
      <c r="L7" s="8">
        <f>SUMIF(综合明细!$B$5:$B$134,I7,综合明细!$I$5:$I$134)</f>
        <v>2354</v>
      </c>
      <c r="M7" s="8">
        <f>SUM(J7:L7)</f>
        <v>2354</v>
      </c>
      <c r="N7" s="7" t="s">
        <v>30</v>
      </c>
    </row>
    <row r="8" spans="1:14">
      <c r="A8" s="7" t="s">
        <v>47</v>
      </c>
      <c r="B8" s="8">
        <f>SUM(综合明细!G20:G24)</f>
        <v>0</v>
      </c>
      <c r="C8" s="8">
        <f>SUM(综合明细!H20:H24)</f>
        <v>179</v>
      </c>
      <c r="D8" s="8">
        <f>SUM(综合明细!I20:I24)</f>
        <v>168</v>
      </c>
      <c r="E8" s="8">
        <f t="shared" si="0"/>
        <v>347</v>
      </c>
      <c r="F8" s="9">
        <f t="shared" si="1"/>
        <v>0</v>
      </c>
      <c r="G8" s="9">
        <f t="shared" si="2"/>
        <v>0.515850144092219</v>
      </c>
      <c r="I8" s="7" t="s">
        <v>32</v>
      </c>
      <c r="J8" s="8">
        <f>SUMIF(综合明细!$B$5:$B$134,I8,综合明细!$G$5:$G$134)</f>
        <v>1285</v>
      </c>
      <c r="K8" s="8">
        <f>SUMIF(综合明细!$B$5:$B$134,I8,综合明细!$H$5:$H$134)</f>
        <v>0</v>
      </c>
      <c r="L8" s="8">
        <f>SUMIF(综合明细!$B$5:$B$134,I8,综合明细!$I$5:$I$134)</f>
        <v>0</v>
      </c>
      <c r="M8" s="8">
        <f>SUM(J8:L8)</f>
        <v>1285</v>
      </c>
      <c r="N8" s="7" t="s">
        <v>34</v>
      </c>
    </row>
    <row r="9" spans="1:14">
      <c r="A9" s="7" t="s">
        <v>51</v>
      </c>
      <c r="B9" s="8">
        <f>SUM(综合明细!G25:G29)</f>
        <v>0</v>
      </c>
      <c r="C9" s="8">
        <f>SUM(综合明细!H25:H29)</f>
        <v>65</v>
      </c>
      <c r="D9" s="8">
        <f>SUM(综合明细!I25:I29)</f>
        <v>108</v>
      </c>
      <c r="E9" s="8">
        <f t="shared" si="0"/>
        <v>173</v>
      </c>
      <c r="F9" s="9">
        <f t="shared" si="1"/>
        <v>0</v>
      </c>
      <c r="G9" s="9">
        <f t="shared" si="2"/>
        <v>0.375722543352601</v>
      </c>
      <c r="I9" s="7" t="s">
        <v>36</v>
      </c>
      <c r="J9" s="8">
        <f>SUMIF(综合明细!$B$5:$B$134,I9,综合明细!$G$5:$G$134)</f>
        <v>316</v>
      </c>
      <c r="K9" s="8">
        <f>SUMIF(综合明细!$B$5:$B$134,I9,综合明细!$H$5:$H$134)</f>
        <v>4</v>
      </c>
      <c r="L9" s="8">
        <f>SUMIF(综合明细!$B$5:$B$134,I9,综合明细!$I$5:$I$134)</f>
        <v>0</v>
      </c>
      <c r="M9" s="8">
        <f>SUM(J9:L9)</f>
        <v>320</v>
      </c>
      <c r="N9" s="7" t="s">
        <v>38</v>
      </c>
    </row>
    <row r="10" ht="15.95" spans="1:14">
      <c r="A10" s="7" t="s">
        <v>54</v>
      </c>
      <c r="B10" s="8">
        <f>SUM(综合明细!G30:G34)</f>
        <v>0</v>
      </c>
      <c r="C10" s="8">
        <f>SUM(综合明细!H30:H34)</f>
        <v>252</v>
      </c>
      <c r="D10" s="8">
        <f>SUM(综合明细!I30:I34)</f>
        <v>0</v>
      </c>
      <c r="E10" s="8">
        <f t="shared" si="0"/>
        <v>252</v>
      </c>
      <c r="F10" s="9">
        <f t="shared" si="1"/>
        <v>0</v>
      </c>
      <c r="G10" s="9">
        <f t="shared" si="2"/>
        <v>1</v>
      </c>
      <c r="I10" s="10" t="s">
        <v>312</v>
      </c>
      <c r="J10" s="11">
        <f>SUM(J5:J9)</f>
        <v>1601</v>
      </c>
      <c r="K10" s="11">
        <f>SUM(K5:K9)</f>
        <v>5462</v>
      </c>
      <c r="L10" s="11">
        <f>SUM(L5:L9)</f>
        <v>2354</v>
      </c>
      <c r="M10" s="11">
        <f>SUM(M5:M9)</f>
        <v>9417</v>
      </c>
      <c r="N10" s="10" t="s">
        <v>336</v>
      </c>
    </row>
    <row r="11" ht="15.95" spans="1:14">
      <c r="A11" s="7" t="s">
        <v>57</v>
      </c>
      <c r="B11" s="8">
        <f>SUM(综合明细!G35:G39)</f>
        <v>369</v>
      </c>
      <c r="C11" s="8">
        <f>SUM(综合明细!H35:H39)</f>
        <v>250</v>
      </c>
      <c r="D11" s="8">
        <f>SUM(综合明细!I35:I39)</f>
        <v>132</v>
      </c>
      <c r="E11" s="8">
        <f t="shared" si="0"/>
        <v>751</v>
      </c>
      <c r="F11" s="9">
        <f t="shared" si="1"/>
        <v>0.491344873501997</v>
      </c>
      <c r="G11" s="9">
        <f t="shared" si="2"/>
        <v>0.33288948069241</v>
      </c>
    </row>
    <row r="12" spans="1:14">
      <c r="A12" s="7" t="s">
        <v>63</v>
      </c>
      <c r="B12" s="8">
        <f>SUM(综合明细!G40:G44)</f>
        <v>0</v>
      </c>
      <c r="C12" s="8">
        <f>SUM(综合明细!H40:H44)</f>
        <v>290</v>
      </c>
      <c r="D12" s="8">
        <f>SUM(综合明细!I40:I44)</f>
        <v>0</v>
      </c>
      <c r="E12" s="8">
        <f t="shared" si="0"/>
        <v>290</v>
      </c>
      <c r="F12" s="9">
        <f t="shared" si="1"/>
        <v>0</v>
      </c>
      <c r="G12" s="9">
        <f t="shared" si="2"/>
        <v>1</v>
      </c>
    </row>
    <row r="13" spans="1:14">
      <c r="A13" s="7" t="s">
        <v>66</v>
      </c>
      <c r="B13" s="8">
        <f>SUM(综合明细!G45:G49)</f>
        <v>0</v>
      </c>
      <c r="C13" s="8">
        <f>SUM(综合明细!H45:H49)</f>
        <v>342</v>
      </c>
      <c r="D13" s="8">
        <f>SUM(综合明细!I45:I49)</f>
        <v>161</v>
      </c>
      <c r="E13" s="8">
        <f t="shared" si="0"/>
        <v>503</v>
      </c>
      <c r="F13" s="9">
        <f t="shared" si="1"/>
        <v>0</v>
      </c>
      <c r="G13" s="9">
        <f t="shared" si="2"/>
        <v>0.679920477137177</v>
      </c>
    </row>
    <row r="14" spans="1:14">
      <c r="A14" s="7" t="s">
        <v>70</v>
      </c>
      <c r="B14" s="8">
        <f>SUM(综合明细!G50:G54)</f>
        <v>0</v>
      </c>
      <c r="C14" s="8">
        <f>SUM(综合明细!H50:H54)</f>
        <v>166</v>
      </c>
      <c r="D14" s="8">
        <f>SUM(综合明细!I50:I54)</f>
        <v>94</v>
      </c>
      <c r="E14" s="8">
        <f t="shared" si="0"/>
        <v>260</v>
      </c>
      <c r="F14" s="9">
        <f t="shared" si="1"/>
        <v>0</v>
      </c>
      <c r="G14" s="9">
        <f t="shared" si="2"/>
        <v>0.638461538461538</v>
      </c>
    </row>
    <row r="15" spans="1:14">
      <c r="A15" s="7" t="s">
        <v>74</v>
      </c>
      <c r="B15" s="8">
        <f>SUM(综合明细!G55:G59)</f>
        <v>0</v>
      </c>
      <c r="C15" s="8">
        <f>SUM(综合明细!H55:H59)</f>
        <v>270</v>
      </c>
      <c r="D15" s="8">
        <f>SUM(综合明细!I55:I59)</f>
        <v>169</v>
      </c>
      <c r="E15" s="8">
        <f t="shared" si="0"/>
        <v>439</v>
      </c>
      <c r="F15" s="9">
        <f t="shared" si="1"/>
        <v>0</v>
      </c>
      <c r="G15" s="9">
        <f t="shared" si="2"/>
        <v>0.61503416856492</v>
      </c>
    </row>
    <row r="16" spans="1:14">
      <c r="A16" s="7" t="s">
        <v>78</v>
      </c>
      <c r="B16" s="8">
        <f>SUM(综合明细!G60:G64)</f>
        <v>250</v>
      </c>
      <c r="C16" s="8">
        <f>SUM(综合明细!H60:H64)</f>
        <v>238</v>
      </c>
      <c r="D16" s="8">
        <f>SUM(综合明细!I60:I64)</f>
        <v>120</v>
      </c>
      <c r="E16" s="8">
        <f t="shared" si="0"/>
        <v>608</v>
      </c>
      <c r="F16" s="9">
        <f t="shared" si="1"/>
        <v>0.411184210526316</v>
      </c>
      <c r="G16" s="9">
        <f t="shared" si="2"/>
        <v>0.391447368421053</v>
      </c>
    </row>
    <row r="17" spans="1:7">
      <c r="A17" s="7" t="s">
        <v>84</v>
      </c>
      <c r="B17" s="8">
        <f>SUM(综合明细!G65:G69)</f>
        <v>0</v>
      </c>
      <c r="C17" s="8">
        <f>SUM(综合明细!H65:H69)</f>
        <v>154</v>
      </c>
      <c r="D17" s="8">
        <f>SUM(综合明细!I65:I69)</f>
        <v>91</v>
      </c>
      <c r="E17" s="8">
        <f t="shared" si="0"/>
        <v>245</v>
      </c>
      <c r="F17" s="9">
        <f t="shared" si="1"/>
        <v>0</v>
      </c>
      <c r="G17" s="9">
        <f t="shared" si="2"/>
        <v>0.628571428571429</v>
      </c>
    </row>
    <row r="18" spans="1:7">
      <c r="A18" s="7" t="s">
        <v>88</v>
      </c>
      <c r="B18" s="8">
        <f>SUM(综合明细!G70:G74)</f>
        <v>393</v>
      </c>
      <c r="C18" s="8">
        <f>SUM(综合明细!H70:H74)</f>
        <v>218</v>
      </c>
      <c r="D18" s="8">
        <f>SUM(综合明细!I70:I74)</f>
        <v>165</v>
      </c>
      <c r="E18" s="8">
        <f t="shared" si="0"/>
        <v>776</v>
      </c>
      <c r="F18" s="9">
        <f t="shared" si="1"/>
        <v>0.506443298969072</v>
      </c>
      <c r="G18" s="9">
        <f t="shared" si="2"/>
        <v>0.280927835051546</v>
      </c>
    </row>
    <row r="19" spans="1:7">
      <c r="A19" s="7" t="s">
        <v>93</v>
      </c>
      <c r="B19" s="8">
        <f>SUM(综合明细!G75:G79)</f>
        <v>0</v>
      </c>
      <c r="C19" s="8">
        <f>SUM(综合明细!H75:H79)</f>
        <v>243</v>
      </c>
      <c r="D19" s="8">
        <f>SUM(综合明细!I75:I79)</f>
        <v>0</v>
      </c>
      <c r="E19" s="8">
        <f t="shared" si="0"/>
        <v>243</v>
      </c>
      <c r="F19" s="9">
        <f t="shared" si="1"/>
        <v>0</v>
      </c>
      <c r="G19" s="9">
        <f t="shared" si="2"/>
        <v>1</v>
      </c>
    </row>
    <row r="20" spans="1:7">
      <c r="A20" s="7" t="s">
        <v>96</v>
      </c>
      <c r="B20" s="8">
        <f>SUM(综合明细!G80:G84)</f>
        <v>0</v>
      </c>
      <c r="C20" s="8">
        <f>SUM(综合明细!H80:H84)</f>
        <v>248</v>
      </c>
      <c r="D20" s="8">
        <f>SUM(综合明细!I80:I84)</f>
        <v>100</v>
      </c>
      <c r="E20" s="8">
        <f t="shared" si="0"/>
        <v>348</v>
      </c>
      <c r="F20" s="9">
        <f t="shared" si="1"/>
        <v>0</v>
      </c>
      <c r="G20" s="9">
        <f t="shared" si="2"/>
        <v>0.71264367816092</v>
      </c>
    </row>
    <row r="21" spans="1:7">
      <c r="A21" s="7" t="s">
        <v>99</v>
      </c>
      <c r="B21" s="8">
        <f>SUM(综合明细!G85:G89)</f>
        <v>298</v>
      </c>
      <c r="C21" s="8">
        <f>SUM(综合明细!H85:H89)</f>
        <v>197</v>
      </c>
      <c r="D21" s="8">
        <f>SUM(综合明细!I85:I89)</f>
        <v>16</v>
      </c>
      <c r="E21" s="8">
        <f t="shared" si="0"/>
        <v>511</v>
      </c>
      <c r="F21" s="9">
        <f t="shared" si="1"/>
        <v>0.583170254403131</v>
      </c>
      <c r="G21" s="9">
        <f t="shared" si="2"/>
        <v>0.385518590998043</v>
      </c>
    </row>
    <row r="22" spans="1:7">
      <c r="A22" s="7" t="s">
        <v>102</v>
      </c>
      <c r="B22" s="8">
        <f>SUM(综合明细!G90:G94)</f>
        <v>291</v>
      </c>
      <c r="C22" s="8">
        <f>SUM(综合明细!H90:H94)</f>
        <v>235</v>
      </c>
      <c r="D22" s="8">
        <f>SUM(综合明细!I90:I94)</f>
        <v>0</v>
      </c>
      <c r="E22" s="8">
        <f t="shared" si="0"/>
        <v>526</v>
      </c>
      <c r="F22" s="9">
        <f t="shared" si="1"/>
        <v>0.553231939163498</v>
      </c>
      <c r="G22" s="9">
        <f t="shared" si="2"/>
        <v>0.446768060836502</v>
      </c>
    </row>
    <row r="23" spans="1:7">
      <c r="A23" s="7" t="s">
        <v>105</v>
      </c>
      <c r="B23" s="8">
        <f>SUM(综合明细!G95:G99)</f>
        <v>0</v>
      </c>
      <c r="C23" s="8">
        <f>SUM(综合明细!H95:H99)</f>
        <v>167</v>
      </c>
      <c r="D23" s="8">
        <f>SUM(综合明细!I95:I99)</f>
        <v>69</v>
      </c>
      <c r="E23" s="8">
        <f t="shared" si="0"/>
        <v>236</v>
      </c>
      <c r="F23" s="9">
        <f t="shared" si="1"/>
        <v>0</v>
      </c>
      <c r="G23" s="9">
        <f t="shared" si="2"/>
        <v>0.707627118644068</v>
      </c>
    </row>
    <row r="24" spans="1:7">
      <c r="A24" s="7" t="s">
        <v>108</v>
      </c>
      <c r="B24" s="8">
        <f>SUM(综合明细!G100:G104)</f>
        <v>0</v>
      </c>
      <c r="C24" s="8">
        <f>SUM(综合明细!H100:H104)</f>
        <v>144</v>
      </c>
      <c r="D24" s="8">
        <f>SUM(综合明细!I100:I104)</f>
        <v>114</v>
      </c>
      <c r="E24" s="8">
        <f t="shared" si="0"/>
        <v>258</v>
      </c>
      <c r="F24" s="9">
        <f t="shared" si="1"/>
        <v>0</v>
      </c>
      <c r="G24" s="9">
        <f t="shared" si="2"/>
        <v>0.558139534883721</v>
      </c>
    </row>
    <row r="25" spans="1:7">
      <c r="A25" s="7" t="s">
        <v>111</v>
      </c>
      <c r="B25" s="8">
        <f>SUM(综合明细!G105:G109)</f>
        <v>0</v>
      </c>
      <c r="C25" s="8">
        <f>SUM(综合明细!H105:H109)</f>
        <v>184</v>
      </c>
      <c r="D25" s="8">
        <f>SUM(综合明细!I105:I109)</f>
        <v>127</v>
      </c>
      <c r="E25" s="8">
        <f t="shared" si="0"/>
        <v>311</v>
      </c>
      <c r="F25" s="9">
        <f t="shared" si="1"/>
        <v>0</v>
      </c>
      <c r="G25" s="9">
        <f t="shared" si="2"/>
        <v>0.591639871382637</v>
      </c>
    </row>
    <row r="26" spans="1:7">
      <c r="A26" s="7" t="s">
        <v>115</v>
      </c>
      <c r="B26" s="8">
        <f>SUM(综合明细!G110:G114)</f>
        <v>0</v>
      </c>
      <c r="C26" s="8">
        <f>SUM(综合明细!H110:H114)</f>
        <v>386</v>
      </c>
      <c r="D26" s="8">
        <f>SUM(综合明细!I110:I114)</f>
        <v>103</v>
      </c>
      <c r="E26" s="8">
        <f t="shared" si="0"/>
        <v>489</v>
      </c>
      <c r="F26" s="9">
        <f t="shared" si="1"/>
        <v>0</v>
      </c>
      <c r="G26" s="9">
        <f t="shared" si="2"/>
        <v>0.789366053169734</v>
      </c>
    </row>
    <row r="27" spans="1:7">
      <c r="A27" s="7" t="s">
        <v>119</v>
      </c>
      <c r="B27" s="8">
        <f>SUM(综合明细!G115:G119)</f>
        <v>0</v>
      </c>
      <c r="C27" s="8">
        <f>SUM(综合明细!H115:H119)</f>
        <v>107</v>
      </c>
      <c r="D27" s="8">
        <f>SUM(综合明细!I115:I119)</f>
        <v>52</v>
      </c>
      <c r="E27" s="8">
        <f t="shared" si="0"/>
        <v>159</v>
      </c>
      <c r="F27" s="9">
        <f t="shared" si="1"/>
        <v>0</v>
      </c>
      <c r="G27" s="9">
        <f t="shared" si="2"/>
        <v>0.672955974842767</v>
      </c>
    </row>
    <row r="28" spans="1:7">
      <c r="A28" s="7" t="s">
        <v>122</v>
      </c>
      <c r="B28" s="8">
        <f>SUM(综合明细!G120:G124)</f>
        <v>0</v>
      </c>
      <c r="C28" s="8">
        <f>SUM(综合明细!H120:H124)</f>
        <v>267</v>
      </c>
      <c r="D28" s="8">
        <f>SUM(综合明细!I120:I124)</f>
        <v>258</v>
      </c>
      <c r="E28" s="8">
        <f t="shared" si="0"/>
        <v>525</v>
      </c>
      <c r="F28" s="9">
        <f t="shared" si="1"/>
        <v>0</v>
      </c>
      <c r="G28" s="9">
        <f t="shared" si="2"/>
        <v>0.508571428571429</v>
      </c>
    </row>
    <row r="29" spans="1:7">
      <c r="A29" s="7" t="s">
        <v>125</v>
      </c>
      <c r="B29" s="8">
        <f>SUM(综合明细!G125:G129)</f>
        <v>0</v>
      </c>
      <c r="C29" s="8">
        <f>SUM(综合明细!H125:H129)</f>
        <v>0</v>
      </c>
      <c r="D29" s="8">
        <f>SUM(综合明细!I125:I129)</f>
        <v>0</v>
      </c>
      <c r="E29" s="8">
        <f t="shared" si="0"/>
        <v>0</v>
      </c>
      <c r="F29" s="9">
        <f t="shared" si="1"/>
        <v>0</v>
      </c>
      <c r="G29" s="9">
        <f t="shared" si="2"/>
        <v>0</v>
      </c>
    </row>
    <row r="30" spans="1:7">
      <c r="A30" s="7" t="s">
        <v>126</v>
      </c>
      <c r="B30" s="8">
        <f>SUM(综合明细!G130:G134)</f>
        <v>0</v>
      </c>
      <c r="C30" s="8">
        <f>SUM(综合明细!H130:H134)</f>
        <v>0</v>
      </c>
      <c r="D30" s="8">
        <f>SUM(综合明细!I130:I134)</f>
        <v>0</v>
      </c>
      <c r="E30" s="8">
        <f t="shared" si="0"/>
        <v>0</v>
      </c>
      <c r="F30" s="9">
        <f t="shared" si="1"/>
        <v>0</v>
      </c>
      <c r="G30" s="9">
        <f t="shared" si="2"/>
        <v>0</v>
      </c>
    </row>
    <row r="31" ht="15.95" spans="1:7">
      <c r="A31" s="10" t="s">
        <v>327</v>
      </c>
      <c r="B31" s="11">
        <f>SUM(B5:B30)</f>
        <v>1601</v>
      </c>
      <c r="C31" s="11">
        <f>SUM(C5:C30)</f>
        <v>5462</v>
      </c>
      <c r="D31" s="11">
        <f>SUM(D5:D30)</f>
        <v>2354</v>
      </c>
      <c r="E31" s="11">
        <f>SUM(E5:E30)</f>
        <v>9417</v>
      </c>
      <c r="F31" s="12">
        <f t="shared" si="1"/>
        <v>0.170011681002442</v>
      </c>
      <c r="G31" s="12">
        <f t="shared" si="2"/>
        <v>0.580014866730381</v>
      </c>
    </row>
    <row r="32" ht="15.95"/>
  </sheetData>
  <mergeCells count="3">
    <mergeCell ref="A1:G1"/>
    <mergeCell ref="I1:N1"/>
    <mergeCell ref="A2:G2"/>
  </mergeCells>
  <conditionalFormatting sqref="B5:B30">
    <cfRule type="colorScale" priority="1">
      <colorScale>
        <cfvo type="min"/>
        <cfvo type="percentile" val="50"/>
        <cfvo type="max"/>
        <color rgb="FFFFFFFF"/>
        <color rgb="FFFFF2CC"/>
        <color rgb="FFBF9000"/>
      </colorScale>
    </cfRule>
  </conditionalFormatting>
  <conditionalFormatting sqref="C5:C30">
    <cfRule type="colorScale" priority="2">
      <colorScale>
        <cfvo type="min"/>
        <cfvo type="percentile" val="50"/>
        <cfvo type="max"/>
        <color rgb="FFFFFFFF"/>
        <color rgb="FFD9EAF7"/>
        <color rgb="FF4F81BD"/>
      </colorScale>
    </cfRule>
  </conditionalFormatting>
  <conditionalFormatting sqref="D5:D30">
    <cfRule type="colorScale" priority="3">
      <colorScale>
        <cfvo type="min"/>
        <cfvo type="percentile" val="50"/>
        <cfvo type="max"/>
        <color rgb="FFFFFFFF"/>
        <color rgb="FFE4DFEC"/>
        <color rgb="FF7030A0"/>
      </colorScale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showGridLines="0" workbookViewId="0">
      <selection activeCell="A1" sqref="A1:G1"/>
    </sheetView>
  </sheetViews>
  <sheetFormatPr defaultColWidth="9" defaultRowHeight="15.2" outlineLevelCol="6"/>
  <cols>
    <col min="1" max="1" width="27" customWidth="1"/>
    <col min="2" max="7" width="15" customWidth="1"/>
  </cols>
  <sheetData>
    <row r="1" ht="30" customHeight="1" spans="1:7">
      <c r="A1" s="17" t="s">
        <v>337</v>
      </c>
      <c r="B1" s="17"/>
      <c r="C1" s="17"/>
      <c r="D1" s="17"/>
      <c r="E1" s="17"/>
      <c r="F1" s="17"/>
      <c r="G1" s="17"/>
    </row>
    <row r="2" ht="34" customHeight="1" spans="1:7">
      <c r="A2" s="18" t="s">
        <v>338</v>
      </c>
      <c r="B2" s="18"/>
      <c r="C2" s="18"/>
      <c r="D2" s="18"/>
      <c r="E2" s="18"/>
      <c r="F2" s="18"/>
      <c r="G2" s="18"/>
    </row>
    <row r="4" ht="24" customHeight="1" spans="1:7">
      <c r="A4" s="6" t="s">
        <v>339</v>
      </c>
      <c r="B4" s="6" t="s">
        <v>21</v>
      </c>
      <c r="C4" s="6" t="s">
        <v>25</v>
      </c>
      <c r="D4" s="6" t="s">
        <v>28</v>
      </c>
      <c r="E4" s="6" t="s">
        <v>32</v>
      </c>
      <c r="F4" s="6" t="s">
        <v>36</v>
      </c>
      <c r="G4" s="6" t="s">
        <v>340</v>
      </c>
    </row>
    <row r="5" spans="1:7">
      <c r="A5" s="19" t="s">
        <v>20</v>
      </c>
      <c r="B5" s="21">
        <v>144</v>
      </c>
      <c r="C5" s="21">
        <v>144</v>
      </c>
      <c r="D5" s="21">
        <v>144</v>
      </c>
      <c r="E5" s="21">
        <v>0</v>
      </c>
      <c r="F5" s="21">
        <v>0</v>
      </c>
      <c r="G5" s="21">
        <f t="shared" ref="G5:G30" si="0">SUM(B5:F5)</f>
        <v>432</v>
      </c>
    </row>
    <row r="6" spans="1:7">
      <c r="A6" s="19" t="s">
        <v>39</v>
      </c>
      <c r="B6" s="21">
        <v>288</v>
      </c>
      <c r="C6" s="21">
        <v>288</v>
      </c>
      <c r="D6" s="21">
        <v>144</v>
      </c>
      <c r="E6" s="21">
        <v>0</v>
      </c>
      <c r="F6" s="21">
        <v>0</v>
      </c>
      <c r="G6" s="21">
        <f t="shared" si="0"/>
        <v>720</v>
      </c>
    </row>
    <row r="7" spans="1:7">
      <c r="A7" s="19" t="s">
        <v>43</v>
      </c>
      <c r="B7" s="21">
        <v>144</v>
      </c>
      <c r="C7" s="21">
        <v>432</v>
      </c>
      <c r="D7" s="21">
        <v>288</v>
      </c>
      <c r="E7" s="21">
        <v>0</v>
      </c>
      <c r="F7" s="21">
        <v>0</v>
      </c>
      <c r="G7" s="21">
        <f t="shared" si="0"/>
        <v>864</v>
      </c>
    </row>
    <row r="8" spans="1:7">
      <c r="A8" s="19" t="s">
        <v>47</v>
      </c>
      <c r="B8" s="21">
        <v>288</v>
      </c>
      <c r="C8" s="21">
        <v>144</v>
      </c>
      <c r="D8" s="21">
        <v>288</v>
      </c>
      <c r="E8" s="21">
        <v>0</v>
      </c>
      <c r="F8" s="21">
        <v>0</v>
      </c>
      <c r="G8" s="21">
        <f t="shared" si="0"/>
        <v>720</v>
      </c>
    </row>
    <row r="9" spans="1:7">
      <c r="A9" s="19" t="s">
        <v>51</v>
      </c>
      <c r="B9" s="21">
        <v>144</v>
      </c>
      <c r="C9" s="21">
        <v>0</v>
      </c>
      <c r="D9" s="21">
        <v>288</v>
      </c>
      <c r="E9" s="21">
        <v>0</v>
      </c>
      <c r="F9" s="21">
        <v>0</v>
      </c>
      <c r="G9" s="21">
        <f t="shared" si="0"/>
        <v>432</v>
      </c>
    </row>
    <row r="10" spans="1:7">
      <c r="A10" s="19" t="s">
        <v>54</v>
      </c>
      <c r="B10" s="21">
        <v>144</v>
      </c>
      <c r="C10" s="21">
        <v>144</v>
      </c>
      <c r="D10" s="21">
        <v>0</v>
      </c>
      <c r="E10" s="21">
        <v>0</v>
      </c>
      <c r="F10" s="21">
        <v>0</v>
      </c>
      <c r="G10" s="21">
        <f t="shared" si="0"/>
        <v>288</v>
      </c>
    </row>
    <row r="11" spans="1:7">
      <c r="A11" s="19" t="s">
        <v>57</v>
      </c>
      <c r="B11" s="21">
        <v>288</v>
      </c>
      <c r="C11" s="21">
        <v>288</v>
      </c>
      <c r="D11" s="21">
        <v>288</v>
      </c>
      <c r="E11" s="21">
        <v>300</v>
      </c>
      <c r="F11" s="21">
        <v>0</v>
      </c>
      <c r="G11" s="21">
        <f t="shared" si="0"/>
        <v>1164</v>
      </c>
    </row>
    <row r="12" spans="1:7">
      <c r="A12" s="19" t="s">
        <v>63</v>
      </c>
      <c r="B12" s="21">
        <v>288</v>
      </c>
      <c r="C12" s="21">
        <v>288</v>
      </c>
      <c r="D12" s="21">
        <v>0</v>
      </c>
      <c r="E12" s="21">
        <v>0</v>
      </c>
      <c r="F12" s="21">
        <v>0</v>
      </c>
      <c r="G12" s="21">
        <f t="shared" si="0"/>
        <v>576</v>
      </c>
    </row>
    <row r="13" spans="1:7">
      <c r="A13" s="19" t="s">
        <v>66</v>
      </c>
      <c r="B13" s="21">
        <v>288</v>
      </c>
      <c r="C13" s="21">
        <v>144</v>
      </c>
      <c r="D13" s="21">
        <v>288</v>
      </c>
      <c r="E13" s="21">
        <v>0</v>
      </c>
      <c r="F13" s="21">
        <v>0</v>
      </c>
      <c r="G13" s="21">
        <f t="shared" si="0"/>
        <v>720</v>
      </c>
    </row>
    <row r="14" spans="1:7">
      <c r="A14" s="19" t="s">
        <v>70</v>
      </c>
      <c r="B14" s="21">
        <v>432</v>
      </c>
      <c r="C14" s="21">
        <v>288</v>
      </c>
      <c r="D14" s="21">
        <v>432</v>
      </c>
      <c r="E14" s="21">
        <v>0</v>
      </c>
      <c r="F14" s="21">
        <v>0</v>
      </c>
      <c r="G14" s="21">
        <f t="shared" si="0"/>
        <v>1152</v>
      </c>
    </row>
    <row r="15" spans="1:7">
      <c r="A15" s="19" t="s">
        <v>74</v>
      </c>
      <c r="B15" s="21">
        <v>144</v>
      </c>
      <c r="C15" s="21">
        <v>288</v>
      </c>
      <c r="D15" s="21">
        <v>288</v>
      </c>
      <c r="E15" s="21">
        <v>0</v>
      </c>
      <c r="F15" s="21">
        <v>0</v>
      </c>
      <c r="G15" s="21">
        <f t="shared" si="0"/>
        <v>720</v>
      </c>
    </row>
    <row r="16" spans="1:7">
      <c r="A16" s="19" t="s">
        <v>78</v>
      </c>
      <c r="B16" s="21">
        <v>432</v>
      </c>
      <c r="C16" s="21">
        <v>144</v>
      </c>
      <c r="D16" s="21">
        <v>288</v>
      </c>
      <c r="E16" s="21">
        <v>0</v>
      </c>
      <c r="F16" s="21">
        <v>300</v>
      </c>
      <c r="G16" s="21">
        <f t="shared" si="0"/>
        <v>1164</v>
      </c>
    </row>
    <row r="17" spans="1:7">
      <c r="A17" s="19" t="s">
        <v>84</v>
      </c>
      <c r="B17" s="21">
        <v>288</v>
      </c>
      <c r="C17" s="21">
        <v>0</v>
      </c>
      <c r="D17" s="21">
        <v>288</v>
      </c>
      <c r="E17" s="21">
        <v>0</v>
      </c>
      <c r="F17" s="21">
        <v>0</v>
      </c>
      <c r="G17" s="21">
        <f t="shared" si="0"/>
        <v>576</v>
      </c>
    </row>
    <row r="18" spans="1:7">
      <c r="A18" s="19" t="s">
        <v>88</v>
      </c>
      <c r="B18" s="21">
        <v>288</v>
      </c>
      <c r="C18" s="21">
        <v>0</v>
      </c>
      <c r="D18" s="21">
        <v>288</v>
      </c>
      <c r="E18" s="21">
        <v>300</v>
      </c>
      <c r="F18" s="21">
        <v>300</v>
      </c>
      <c r="G18" s="21">
        <f t="shared" si="0"/>
        <v>1176</v>
      </c>
    </row>
    <row r="19" spans="1:7">
      <c r="A19" s="19" t="s">
        <v>93</v>
      </c>
      <c r="B19" s="21">
        <v>144</v>
      </c>
      <c r="C19" s="21">
        <v>144</v>
      </c>
      <c r="D19" s="21">
        <v>0</v>
      </c>
      <c r="E19" s="21">
        <v>0</v>
      </c>
      <c r="F19" s="21">
        <v>0</v>
      </c>
      <c r="G19" s="21">
        <f t="shared" si="0"/>
        <v>288</v>
      </c>
    </row>
    <row r="20" spans="1:7">
      <c r="A20" s="19" t="s">
        <v>96</v>
      </c>
      <c r="B20" s="21">
        <v>0</v>
      </c>
      <c r="C20" s="21">
        <v>288</v>
      </c>
      <c r="D20" s="21">
        <v>144</v>
      </c>
      <c r="E20" s="21">
        <v>0</v>
      </c>
      <c r="F20" s="21">
        <v>0</v>
      </c>
      <c r="G20" s="21">
        <f t="shared" si="0"/>
        <v>432</v>
      </c>
    </row>
    <row r="21" spans="1:7">
      <c r="A21" s="19" t="s">
        <v>99</v>
      </c>
      <c r="B21" s="21">
        <v>288</v>
      </c>
      <c r="C21" s="21">
        <v>0</v>
      </c>
      <c r="D21" s="21">
        <v>0</v>
      </c>
      <c r="E21" s="21">
        <v>300</v>
      </c>
      <c r="F21" s="21">
        <v>0</v>
      </c>
      <c r="G21" s="21">
        <f t="shared" si="0"/>
        <v>588</v>
      </c>
    </row>
    <row r="22" spans="1:7">
      <c r="A22" s="19" t="s">
        <v>102</v>
      </c>
      <c r="B22" s="21">
        <v>0</v>
      </c>
      <c r="C22" s="21">
        <v>0</v>
      </c>
      <c r="D22" s="21">
        <v>0</v>
      </c>
      <c r="E22" s="21">
        <v>0</v>
      </c>
      <c r="F22" s="21">
        <v>0</v>
      </c>
      <c r="G22" s="21">
        <f t="shared" si="0"/>
        <v>0</v>
      </c>
    </row>
    <row r="23" spans="1:7">
      <c r="A23" s="19" t="s">
        <v>105</v>
      </c>
      <c r="B23" s="21">
        <v>288</v>
      </c>
      <c r="C23" s="21">
        <v>144</v>
      </c>
      <c r="D23" s="21">
        <v>288</v>
      </c>
      <c r="E23" s="21">
        <v>0</v>
      </c>
      <c r="F23" s="21">
        <v>0</v>
      </c>
      <c r="G23" s="21">
        <f t="shared" si="0"/>
        <v>720</v>
      </c>
    </row>
    <row r="24" spans="1:7">
      <c r="A24" s="19" t="s">
        <v>108</v>
      </c>
      <c r="B24" s="21">
        <v>288</v>
      </c>
      <c r="C24" s="21">
        <v>0</v>
      </c>
      <c r="D24" s="21">
        <v>144</v>
      </c>
      <c r="E24" s="21">
        <v>0</v>
      </c>
      <c r="F24" s="21">
        <v>0</v>
      </c>
      <c r="G24" s="21">
        <f t="shared" si="0"/>
        <v>432</v>
      </c>
    </row>
    <row r="25" spans="1:7">
      <c r="A25" s="19" t="s">
        <v>111</v>
      </c>
      <c r="B25" s="21">
        <v>0</v>
      </c>
      <c r="C25" s="21">
        <v>0</v>
      </c>
      <c r="D25" s="21">
        <v>0</v>
      </c>
      <c r="E25" s="21">
        <v>0</v>
      </c>
      <c r="F25" s="21">
        <v>0</v>
      </c>
      <c r="G25" s="21">
        <f t="shared" si="0"/>
        <v>0</v>
      </c>
    </row>
    <row r="26" spans="1:7">
      <c r="A26" s="19" t="s">
        <v>115</v>
      </c>
      <c r="B26" s="21">
        <v>288</v>
      </c>
      <c r="C26" s="21">
        <v>288</v>
      </c>
      <c r="D26" s="21">
        <v>288</v>
      </c>
      <c r="E26" s="21">
        <v>0</v>
      </c>
      <c r="F26" s="21">
        <v>0</v>
      </c>
      <c r="G26" s="21">
        <f t="shared" si="0"/>
        <v>864</v>
      </c>
    </row>
    <row r="27" spans="1:7">
      <c r="A27" s="19" t="s">
        <v>119</v>
      </c>
      <c r="B27" s="21">
        <v>0</v>
      </c>
      <c r="C27" s="21">
        <v>288</v>
      </c>
      <c r="D27" s="21">
        <v>288</v>
      </c>
      <c r="E27" s="21">
        <v>0</v>
      </c>
      <c r="F27" s="21">
        <v>0</v>
      </c>
      <c r="G27" s="21">
        <f t="shared" si="0"/>
        <v>576</v>
      </c>
    </row>
    <row r="28" spans="1:7">
      <c r="A28" s="19" t="s">
        <v>122</v>
      </c>
      <c r="B28" s="21">
        <v>288</v>
      </c>
      <c r="C28" s="21">
        <v>0</v>
      </c>
      <c r="D28" s="21">
        <v>288</v>
      </c>
      <c r="E28" s="21">
        <v>0</v>
      </c>
      <c r="F28" s="21">
        <v>0</v>
      </c>
      <c r="G28" s="21">
        <f t="shared" si="0"/>
        <v>576</v>
      </c>
    </row>
    <row r="29" spans="1:7">
      <c r="A29" s="19" t="s">
        <v>125</v>
      </c>
      <c r="B29" s="21">
        <v>144</v>
      </c>
      <c r="C29" s="21">
        <v>0</v>
      </c>
      <c r="D29" s="21">
        <v>288</v>
      </c>
      <c r="E29" s="21">
        <v>0</v>
      </c>
      <c r="F29" s="21">
        <v>0</v>
      </c>
      <c r="G29" s="21">
        <f t="shared" si="0"/>
        <v>432</v>
      </c>
    </row>
    <row r="30" spans="1:7">
      <c r="A30" s="19" t="s">
        <v>126</v>
      </c>
      <c r="B30" s="21">
        <v>0</v>
      </c>
      <c r="C30" s="21">
        <v>288</v>
      </c>
      <c r="D30" s="21">
        <v>0</v>
      </c>
      <c r="E30" s="21">
        <v>300</v>
      </c>
      <c r="F30" s="21">
        <v>0</v>
      </c>
      <c r="G30" s="21">
        <f t="shared" si="0"/>
        <v>588</v>
      </c>
    </row>
    <row r="31" ht="15.95" spans="1:7">
      <c r="A31" s="22" t="s">
        <v>341</v>
      </c>
      <c r="B31" s="23">
        <f t="shared" ref="B31:G31" si="1">SUM(B5:B30)</f>
        <v>5328</v>
      </c>
      <c r="C31" s="23">
        <f t="shared" si="1"/>
        <v>4032</v>
      </c>
      <c r="D31" s="23">
        <f t="shared" si="1"/>
        <v>5040</v>
      </c>
      <c r="E31" s="23">
        <f t="shared" si="1"/>
        <v>1200</v>
      </c>
      <c r="F31" s="23">
        <f t="shared" si="1"/>
        <v>600</v>
      </c>
      <c r="G31" s="23">
        <f t="shared" si="1"/>
        <v>16200</v>
      </c>
    </row>
    <row r="32" ht="15.95"/>
  </sheetData>
  <mergeCells count="2">
    <mergeCell ref="A1:G1"/>
    <mergeCell ref="A2:G2"/>
  </mergeCells>
  <conditionalFormatting sqref="B5:F30">
    <cfRule type="colorScale" priority="1">
      <colorScale>
        <cfvo type="min"/>
        <cfvo type="percentile" val="50"/>
        <cfvo type="max"/>
        <color rgb="FFFFFFFF"/>
        <color rgb="FFD9EAF7"/>
        <color rgb="FF4F81BD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showGridLines="0" workbookViewId="0">
      <selection activeCell="A1" sqref="A1:G1"/>
    </sheetView>
  </sheetViews>
  <sheetFormatPr defaultColWidth="9" defaultRowHeight="15.2" outlineLevelCol="6"/>
  <cols>
    <col min="1" max="1" width="27" customWidth="1"/>
    <col min="2" max="7" width="15" customWidth="1"/>
  </cols>
  <sheetData>
    <row r="1" ht="30" customHeight="1" spans="1:7">
      <c r="A1" s="17" t="s">
        <v>342</v>
      </c>
      <c r="B1" s="17"/>
      <c r="C1" s="17"/>
      <c r="D1" s="17"/>
      <c r="E1" s="17"/>
      <c r="F1" s="17"/>
      <c r="G1" s="17"/>
    </row>
    <row r="2" ht="34" customHeight="1" spans="1:7">
      <c r="A2" s="18" t="s">
        <v>343</v>
      </c>
      <c r="B2" s="18"/>
      <c r="C2" s="18"/>
      <c r="D2" s="18"/>
      <c r="E2" s="18"/>
      <c r="F2" s="18"/>
      <c r="G2" s="18"/>
    </row>
    <row r="4" ht="24" customHeight="1" spans="1:7">
      <c r="A4" s="6" t="s">
        <v>339</v>
      </c>
      <c r="B4" s="6" t="s">
        <v>21</v>
      </c>
      <c r="C4" s="6" t="s">
        <v>25</v>
      </c>
      <c r="D4" s="6" t="s">
        <v>28</v>
      </c>
      <c r="E4" s="6" t="s">
        <v>32</v>
      </c>
      <c r="F4" s="6" t="s">
        <v>36</v>
      </c>
      <c r="G4" s="6" t="s">
        <v>340</v>
      </c>
    </row>
    <row r="5" spans="1:7">
      <c r="A5" s="19" t="s">
        <v>20</v>
      </c>
      <c r="B5" s="21">
        <v>81</v>
      </c>
      <c r="C5" s="21">
        <v>70</v>
      </c>
      <c r="D5" s="21">
        <v>100</v>
      </c>
      <c r="E5" s="21">
        <v>0</v>
      </c>
      <c r="F5" s="21">
        <v>0</v>
      </c>
      <c r="G5" s="21">
        <f t="shared" ref="G5:G30" si="0">SUM(B5:F5)</f>
        <v>251</v>
      </c>
    </row>
    <row r="6" spans="1:7">
      <c r="A6" s="19" t="s">
        <v>39</v>
      </c>
      <c r="B6" s="21">
        <v>79</v>
      </c>
      <c r="C6" s="21">
        <v>86</v>
      </c>
      <c r="D6" s="21">
        <v>0</v>
      </c>
      <c r="E6" s="21">
        <v>0</v>
      </c>
      <c r="F6" s="21">
        <v>0</v>
      </c>
      <c r="G6" s="21">
        <f t="shared" si="0"/>
        <v>165</v>
      </c>
    </row>
    <row r="7" spans="1:7">
      <c r="A7" s="19" t="s">
        <v>43</v>
      </c>
      <c r="B7" s="21">
        <v>0</v>
      </c>
      <c r="C7" s="21">
        <v>125</v>
      </c>
      <c r="D7" s="21">
        <v>73</v>
      </c>
      <c r="E7" s="21">
        <v>0</v>
      </c>
      <c r="F7" s="21">
        <v>0</v>
      </c>
      <c r="G7" s="21">
        <f t="shared" si="0"/>
        <v>198</v>
      </c>
    </row>
    <row r="8" spans="1:7">
      <c r="A8" s="19" t="s">
        <v>47</v>
      </c>
      <c r="B8" s="21">
        <v>187</v>
      </c>
      <c r="C8" s="21">
        <v>0</v>
      </c>
      <c r="D8" s="21">
        <v>99</v>
      </c>
      <c r="E8" s="21">
        <v>0</v>
      </c>
      <c r="F8" s="21">
        <v>0</v>
      </c>
      <c r="G8" s="21">
        <f t="shared" si="0"/>
        <v>286</v>
      </c>
    </row>
    <row r="9" spans="1:7">
      <c r="A9" s="19" t="s">
        <v>51</v>
      </c>
      <c r="B9" s="21">
        <v>66</v>
      </c>
      <c r="C9" s="21">
        <v>0</v>
      </c>
      <c r="D9" s="21">
        <v>126</v>
      </c>
      <c r="E9" s="21">
        <v>0</v>
      </c>
      <c r="F9" s="21">
        <v>0</v>
      </c>
      <c r="G9" s="21">
        <f t="shared" si="0"/>
        <v>192</v>
      </c>
    </row>
    <row r="10" spans="1:7">
      <c r="A10" s="19" t="s">
        <v>54</v>
      </c>
      <c r="B10" s="21">
        <v>111</v>
      </c>
      <c r="C10" s="21">
        <v>0</v>
      </c>
      <c r="D10" s="21">
        <v>0</v>
      </c>
      <c r="E10" s="21">
        <v>0</v>
      </c>
      <c r="F10" s="21">
        <v>0</v>
      </c>
      <c r="G10" s="21">
        <f t="shared" si="0"/>
        <v>111</v>
      </c>
    </row>
    <row r="11" spans="1:7">
      <c r="A11" s="19" t="s">
        <v>57</v>
      </c>
      <c r="B11" s="21">
        <v>0</v>
      </c>
      <c r="C11" s="21">
        <v>178</v>
      </c>
      <c r="D11" s="21">
        <v>113</v>
      </c>
      <c r="E11" s="21">
        <v>0</v>
      </c>
      <c r="F11" s="21">
        <v>0</v>
      </c>
      <c r="G11" s="21">
        <f t="shared" si="0"/>
        <v>291</v>
      </c>
    </row>
    <row r="12" spans="1:7">
      <c r="A12" s="19" t="s">
        <v>63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f t="shared" si="0"/>
        <v>0</v>
      </c>
    </row>
    <row r="13" spans="1:7">
      <c r="A13" s="19" t="s">
        <v>66</v>
      </c>
      <c r="B13" s="21">
        <v>59</v>
      </c>
      <c r="C13" s="21">
        <v>0</v>
      </c>
      <c r="D13" s="21">
        <v>100</v>
      </c>
      <c r="E13" s="21">
        <v>0</v>
      </c>
      <c r="F13" s="21">
        <v>0</v>
      </c>
      <c r="G13" s="21">
        <f t="shared" si="0"/>
        <v>159</v>
      </c>
    </row>
    <row r="14" spans="1:7">
      <c r="A14" s="19" t="s">
        <v>70</v>
      </c>
      <c r="B14" s="21">
        <v>306</v>
      </c>
      <c r="C14" s="21">
        <v>216</v>
      </c>
      <c r="D14" s="21">
        <v>319</v>
      </c>
      <c r="E14" s="21">
        <v>0</v>
      </c>
      <c r="F14" s="21">
        <v>0</v>
      </c>
      <c r="G14" s="21">
        <f t="shared" si="0"/>
        <v>841</v>
      </c>
    </row>
    <row r="15" spans="1:7">
      <c r="A15" s="19" t="s">
        <v>74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f t="shared" si="0"/>
        <v>0</v>
      </c>
    </row>
    <row r="16" spans="1:7">
      <c r="A16" s="19" t="s">
        <v>78</v>
      </c>
      <c r="B16" s="21">
        <v>352</v>
      </c>
      <c r="C16" s="21">
        <v>128</v>
      </c>
      <c r="D16" s="21">
        <v>205</v>
      </c>
      <c r="E16" s="21">
        <v>0</v>
      </c>
      <c r="F16" s="21">
        <v>0</v>
      </c>
      <c r="G16" s="21">
        <f t="shared" si="0"/>
        <v>685</v>
      </c>
    </row>
    <row r="17" spans="1:7">
      <c r="A17" s="19" t="s">
        <v>84</v>
      </c>
      <c r="B17" s="21">
        <v>0</v>
      </c>
      <c r="C17" s="21">
        <v>0</v>
      </c>
      <c r="D17" s="21">
        <v>174</v>
      </c>
      <c r="E17" s="21">
        <v>0</v>
      </c>
      <c r="F17" s="21">
        <v>0</v>
      </c>
      <c r="G17" s="21">
        <f t="shared" si="0"/>
        <v>174</v>
      </c>
    </row>
    <row r="18" spans="1:7">
      <c r="A18" s="19" t="s">
        <v>88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f t="shared" si="0"/>
        <v>0</v>
      </c>
    </row>
    <row r="19" spans="1:7">
      <c r="A19" s="19" t="s">
        <v>93</v>
      </c>
      <c r="B19" s="21">
        <v>21</v>
      </c>
      <c r="C19" s="21">
        <v>0</v>
      </c>
      <c r="D19" s="21">
        <v>0</v>
      </c>
      <c r="E19" s="21">
        <v>0</v>
      </c>
      <c r="F19" s="21">
        <v>0</v>
      </c>
      <c r="G19" s="21">
        <f t="shared" si="0"/>
        <v>21</v>
      </c>
    </row>
    <row r="20" spans="1:7">
      <c r="A20" s="19" t="s">
        <v>96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f t="shared" si="0"/>
        <v>0</v>
      </c>
    </row>
    <row r="21" spans="1:7">
      <c r="A21" s="19" t="s">
        <v>99</v>
      </c>
      <c r="B21" s="21">
        <v>110</v>
      </c>
      <c r="C21" s="21">
        <v>0</v>
      </c>
      <c r="D21" s="21">
        <v>0</v>
      </c>
      <c r="E21" s="21">
        <v>0</v>
      </c>
      <c r="F21" s="21">
        <v>0</v>
      </c>
      <c r="G21" s="21">
        <f t="shared" si="0"/>
        <v>110</v>
      </c>
    </row>
    <row r="22" spans="1:7">
      <c r="A22" s="19" t="s">
        <v>102</v>
      </c>
      <c r="B22" s="21">
        <v>0</v>
      </c>
      <c r="C22" s="21">
        <v>0</v>
      </c>
      <c r="D22" s="21">
        <v>0</v>
      </c>
      <c r="E22" s="21">
        <v>0</v>
      </c>
      <c r="F22" s="21">
        <v>0</v>
      </c>
      <c r="G22" s="21">
        <f t="shared" si="0"/>
        <v>0</v>
      </c>
    </row>
    <row r="23" spans="1:7">
      <c r="A23" s="19" t="s">
        <v>105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f t="shared" si="0"/>
        <v>0</v>
      </c>
    </row>
    <row r="24" spans="1:7">
      <c r="A24" s="19" t="s">
        <v>108</v>
      </c>
      <c r="B24" s="21">
        <v>58</v>
      </c>
      <c r="C24" s="21">
        <v>0</v>
      </c>
      <c r="D24" s="21">
        <v>13</v>
      </c>
      <c r="E24" s="21">
        <v>0</v>
      </c>
      <c r="F24" s="21">
        <v>0</v>
      </c>
      <c r="G24" s="21">
        <f t="shared" si="0"/>
        <v>71</v>
      </c>
    </row>
    <row r="25" spans="1:7">
      <c r="A25" s="19" t="s">
        <v>111</v>
      </c>
      <c r="B25" s="21">
        <v>0</v>
      </c>
      <c r="C25" s="21">
        <v>0</v>
      </c>
      <c r="D25" s="21">
        <v>0</v>
      </c>
      <c r="E25" s="21">
        <v>0</v>
      </c>
      <c r="F25" s="21">
        <v>0</v>
      </c>
      <c r="G25" s="21">
        <f t="shared" si="0"/>
        <v>0</v>
      </c>
    </row>
    <row r="26" spans="1:7">
      <c r="A26" s="19" t="s">
        <v>115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f t="shared" si="0"/>
        <v>0</v>
      </c>
    </row>
    <row r="27" spans="1:7">
      <c r="A27" s="19" t="s">
        <v>119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f t="shared" si="0"/>
        <v>0</v>
      </c>
    </row>
    <row r="28" spans="1:7">
      <c r="A28" s="19" t="s">
        <v>122</v>
      </c>
      <c r="B28" s="21">
        <v>9</v>
      </c>
      <c r="C28" s="21">
        <v>0</v>
      </c>
      <c r="D28" s="21">
        <v>0</v>
      </c>
      <c r="E28" s="21">
        <v>0</v>
      </c>
      <c r="F28" s="21">
        <v>0</v>
      </c>
      <c r="G28" s="21">
        <f t="shared" si="0"/>
        <v>9</v>
      </c>
    </row>
    <row r="29" spans="1:7">
      <c r="A29" s="19" t="s">
        <v>125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f t="shared" si="0"/>
        <v>0</v>
      </c>
    </row>
    <row r="30" spans="1:7">
      <c r="A30" s="19" t="s">
        <v>126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f t="shared" si="0"/>
        <v>0</v>
      </c>
    </row>
    <row r="31" ht="15.95" spans="1:7">
      <c r="A31" s="22" t="s">
        <v>341</v>
      </c>
      <c r="B31" s="23">
        <f t="shared" ref="B31:G31" si="1">SUM(B5:B30)</f>
        <v>1439</v>
      </c>
      <c r="C31" s="23">
        <f t="shared" si="1"/>
        <v>803</v>
      </c>
      <c r="D31" s="23">
        <f t="shared" si="1"/>
        <v>1322</v>
      </c>
      <c r="E31" s="23">
        <f t="shared" si="1"/>
        <v>0</v>
      </c>
      <c r="F31" s="23">
        <f t="shared" si="1"/>
        <v>0</v>
      </c>
      <c r="G31" s="23">
        <f t="shared" si="1"/>
        <v>3564</v>
      </c>
    </row>
    <row r="32" ht="15.95"/>
  </sheetData>
  <mergeCells count="2">
    <mergeCell ref="A1:G1"/>
    <mergeCell ref="A2:G2"/>
  </mergeCells>
  <conditionalFormatting sqref="B5:F30">
    <cfRule type="colorScale" priority="1">
      <colorScale>
        <cfvo type="min"/>
        <cfvo type="percentile" val="50"/>
        <cfvo type="max"/>
        <color rgb="FFFFFFFF"/>
        <color rgb="FFFCE4D6"/>
        <color rgb="FFC00000"/>
      </colorScale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showGridLines="0" workbookViewId="0">
      <selection activeCell="A1" sqref="A1:G1"/>
    </sheetView>
  </sheetViews>
  <sheetFormatPr defaultColWidth="9" defaultRowHeight="15.2" outlineLevelCol="6"/>
  <cols>
    <col min="1" max="1" width="27" customWidth="1"/>
    <col min="2" max="7" width="15" customWidth="1"/>
  </cols>
  <sheetData>
    <row r="1" ht="30" customHeight="1" spans="1:7">
      <c r="A1" s="17" t="s">
        <v>344</v>
      </c>
      <c r="B1" s="17"/>
      <c r="C1" s="17"/>
      <c r="D1" s="17"/>
      <c r="E1" s="17"/>
      <c r="F1" s="17"/>
      <c r="G1" s="17"/>
    </row>
    <row r="2" ht="34" customHeight="1" spans="1:7">
      <c r="A2" s="18" t="s">
        <v>345</v>
      </c>
      <c r="B2" s="18"/>
      <c r="C2" s="18"/>
      <c r="D2" s="18"/>
      <c r="E2" s="18"/>
      <c r="F2" s="18"/>
      <c r="G2" s="18"/>
    </row>
    <row r="4" ht="24" customHeight="1" spans="1:7">
      <c r="A4" s="6" t="s">
        <v>339</v>
      </c>
      <c r="B4" s="6" t="s">
        <v>21</v>
      </c>
      <c r="C4" s="6" t="s">
        <v>25</v>
      </c>
      <c r="D4" s="6" t="s">
        <v>28</v>
      </c>
      <c r="E4" s="6" t="s">
        <v>32</v>
      </c>
      <c r="F4" s="6" t="s">
        <v>36</v>
      </c>
      <c r="G4" s="6" t="s">
        <v>340</v>
      </c>
    </row>
    <row r="5" spans="1:7">
      <c r="A5" s="19" t="s">
        <v>20</v>
      </c>
      <c r="B5" s="21">
        <v>45</v>
      </c>
      <c r="C5" s="21">
        <v>62</v>
      </c>
      <c r="D5" s="21">
        <v>43</v>
      </c>
      <c r="E5" s="21">
        <v>0</v>
      </c>
      <c r="F5" s="21">
        <v>0</v>
      </c>
      <c r="G5" s="21">
        <f t="shared" ref="G5:G30" si="0">SUM(B5:F5)</f>
        <v>150</v>
      </c>
    </row>
    <row r="6" spans="1:7">
      <c r="A6" s="19" t="s">
        <v>39</v>
      </c>
      <c r="B6" s="21">
        <v>207</v>
      </c>
      <c r="C6" s="21">
        <v>148</v>
      </c>
      <c r="D6" s="21">
        <v>97</v>
      </c>
      <c r="E6" s="21">
        <v>0</v>
      </c>
      <c r="F6" s="21">
        <v>0</v>
      </c>
      <c r="G6" s="21">
        <f t="shared" si="0"/>
        <v>452</v>
      </c>
    </row>
    <row r="7" spans="1:7">
      <c r="A7" s="19" t="s">
        <v>43</v>
      </c>
      <c r="B7" s="21">
        <v>125</v>
      </c>
      <c r="C7" s="21">
        <v>273</v>
      </c>
      <c r="D7" s="21">
        <v>167</v>
      </c>
      <c r="E7" s="21">
        <v>0</v>
      </c>
      <c r="F7" s="21">
        <v>0</v>
      </c>
      <c r="G7" s="21">
        <f t="shared" si="0"/>
        <v>565</v>
      </c>
    </row>
    <row r="8" spans="1:7">
      <c r="A8" s="19" t="s">
        <v>47</v>
      </c>
      <c r="B8" s="21">
        <v>116</v>
      </c>
      <c r="C8" s="21">
        <v>63</v>
      </c>
      <c r="D8" s="21">
        <v>168</v>
      </c>
      <c r="E8" s="21">
        <v>0</v>
      </c>
      <c r="F8" s="21">
        <v>0</v>
      </c>
      <c r="G8" s="21">
        <f t="shared" si="0"/>
        <v>347</v>
      </c>
    </row>
    <row r="9" spans="1:7">
      <c r="A9" s="19" t="s">
        <v>51</v>
      </c>
      <c r="B9" s="21">
        <v>65</v>
      </c>
      <c r="C9" s="21">
        <v>0</v>
      </c>
      <c r="D9" s="21">
        <v>108</v>
      </c>
      <c r="E9" s="21">
        <v>0</v>
      </c>
      <c r="F9" s="21">
        <v>0</v>
      </c>
      <c r="G9" s="21">
        <f t="shared" si="0"/>
        <v>173</v>
      </c>
    </row>
    <row r="10" spans="1:7">
      <c r="A10" s="19" t="s">
        <v>54</v>
      </c>
      <c r="B10" s="21">
        <v>126</v>
      </c>
      <c r="C10" s="21">
        <v>126</v>
      </c>
      <c r="D10" s="21">
        <v>0</v>
      </c>
      <c r="E10" s="21">
        <v>0</v>
      </c>
      <c r="F10" s="21">
        <v>0</v>
      </c>
      <c r="G10" s="21">
        <f t="shared" si="0"/>
        <v>252</v>
      </c>
    </row>
    <row r="11" spans="1:7">
      <c r="A11" s="19" t="s">
        <v>57</v>
      </c>
      <c r="B11" s="21">
        <v>151</v>
      </c>
      <c r="C11" s="21">
        <v>99</v>
      </c>
      <c r="D11" s="21">
        <v>132</v>
      </c>
      <c r="E11" s="21">
        <v>322</v>
      </c>
      <c r="F11" s="21">
        <v>47</v>
      </c>
      <c r="G11" s="21">
        <f t="shared" si="0"/>
        <v>751</v>
      </c>
    </row>
    <row r="12" spans="1:7">
      <c r="A12" s="19" t="s">
        <v>63</v>
      </c>
      <c r="B12" s="21">
        <v>177</v>
      </c>
      <c r="C12" s="21">
        <v>113</v>
      </c>
      <c r="D12" s="21">
        <v>0</v>
      </c>
      <c r="E12" s="21">
        <v>0</v>
      </c>
      <c r="F12" s="21">
        <v>0</v>
      </c>
      <c r="G12" s="21">
        <f t="shared" si="0"/>
        <v>290</v>
      </c>
    </row>
    <row r="13" spans="1:7">
      <c r="A13" s="19" t="s">
        <v>66</v>
      </c>
      <c r="B13" s="21">
        <v>218</v>
      </c>
      <c r="C13" s="21">
        <v>124</v>
      </c>
      <c r="D13" s="21">
        <v>161</v>
      </c>
      <c r="E13" s="21">
        <v>0</v>
      </c>
      <c r="F13" s="21">
        <v>0</v>
      </c>
      <c r="G13" s="21">
        <f t="shared" si="0"/>
        <v>503</v>
      </c>
    </row>
    <row r="14" spans="1:7">
      <c r="A14" s="19" t="s">
        <v>70</v>
      </c>
      <c r="B14" s="21">
        <v>83</v>
      </c>
      <c r="C14" s="21">
        <v>83</v>
      </c>
      <c r="D14" s="21">
        <v>94</v>
      </c>
      <c r="E14" s="21">
        <v>0</v>
      </c>
      <c r="F14" s="21">
        <v>0</v>
      </c>
      <c r="G14" s="21">
        <f t="shared" si="0"/>
        <v>260</v>
      </c>
    </row>
    <row r="15" spans="1:7">
      <c r="A15" s="19" t="s">
        <v>74</v>
      </c>
      <c r="B15" s="21">
        <v>60</v>
      </c>
      <c r="C15" s="21">
        <v>210</v>
      </c>
      <c r="D15" s="21">
        <v>169</v>
      </c>
      <c r="E15" s="21">
        <v>0</v>
      </c>
      <c r="F15" s="21">
        <v>0</v>
      </c>
      <c r="G15" s="21">
        <f t="shared" si="0"/>
        <v>439</v>
      </c>
    </row>
    <row r="16" spans="1:7">
      <c r="A16" s="19" t="s">
        <v>78</v>
      </c>
      <c r="B16" s="21">
        <v>154</v>
      </c>
      <c r="C16" s="21">
        <v>80</v>
      </c>
      <c r="D16" s="21">
        <v>120</v>
      </c>
      <c r="E16" s="21">
        <v>99</v>
      </c>
      <c r="F16" s="21">
        <v>155</v>
      </c>
      <c r="G16" s="21">
        <f t="shared" si="0"/>
        <v>608</v>
      </c>
    </row>
    <row r="17" spans="1:7">
      <c r="A17" s="19" t="s">
        <v>84</v>
      </c>
      <c r="B17" s="21">
        <v>151</v>
      </c>
      <c r="C17" s="21">
        <v>3</v>
      </c>
      <c r="D17" s="21">
        <v>91</v>
      </c>
      <c r="E17" s="21">
        <v>0</v>
      </c>
      <c r="F17" s="21">
        <v>0</v>
      </c>
      <c r="G17" s="21">
        <f t="shared" si="0"/>
        <v>245</v>
      </c>
    </row>
    <row r="18" spans="1:7">
      <c r="A18" s="19" t="s">
        <v>88</v>
      </c>
      <c r="B18" s="21">
        <v>218</v>
      </c>
      <c r="C18" s="21">
        <v>0</v>
      </c>
      <c r="D18" s="21">
        <v>165</v>
      </c>
      <c r="E18" s="21">
        <v>275</v>
      </c>
      <c r="F18" s="21">
        <v>118</v>
      </c>
      <c r="G18" s="21">
        <f t="shared" si="0"/>
        <v>776</v>
      </c>
    </row>
    <row r="19" spans="1:7">
      <c r="A19" s="19" t="s">
        <v>93</v>
      </c>
      <c r="B19" s="21">
        <v>105</v>
      </c>
      <c r="C19" s="21">
        <v>138</v>
      </c>
      <c r="D19" s="21">
        <v>0</v>
      </c>
      <c r="E19" s="21">
        <v>0</v>
      </c>
      <c r="F19" s="21">
        <v>0</v>
      </c>
      <c r="G19" s="21">
        <f t="shared" si="0"/>
        <v>243</v>
      </c>
    </row>
    <row r="20" spans="1:7">
      <c r="A20" s="19" t="s">
        <v>96</v>
      </c>
      <c r="B20" s="21">
        <v>0</v>
      </c>
      <c r="C20" s="21">
        <v>248</v>
      </c>
      <c r="D20" s="21">
        <v>100</v>
      </c>
      <c r="E20" s="21">
        <v>0</v>
      </c>
      <c r="F20" s="21">
        <v>0</v>
      </c>
      <c r="G20" s="21">
        <f t="shared" si="0"/>
        <v>348</v>
      </c>
    </row>
    <row r="21" spans="1:7">
      <c r="A21" s="19" t="s">
        <v>99</v>
      </c>
      <c r="B21" s="21">
        <v>195</v>
      </c>
      <c r="C21" s="21">
        <v>2</v>
      </c>
      <c r="D21" s="21">
        <v>16</v>
      </c>
      <c r="E21" s="21">
        <v>298</v>
      </c>
      <c r="F21" s="21">
        <v>0</v>
      </c>
      <c r="G21" s="21">
        <f t="shared" si="0"/>
        <v>511</v>
      </c>
    </row>
    <row r="22" spans="1:7">
      <c r="A22" s="19" t="s">
        <v>102</v>
      </c>
      <c r="B22" s="21">
        <v>0</v>
      </c>
      <c r="C22" s="21">
        <v>235</v>
      </c>
      <c r="D22" s="21">
        <v>0</v>
      </c>
      <c r="E22" s="21">
        <v>291</v>
      </c>
      <c r="F22" s="21">
        <v>0</v>
      </c>
      <c r="G22" s="21">
        <f t="shared" si="0"/>
        <v>526</v>
      </c>
    </row>
    <row r="23" spans="1:7">
      <c r="A23" s="19" t="s">
        <v>105</v>
      </c>
      <c r="B23" s="21">
        <v>167</v>
      </c>
      <c r="C23" s="21">
        <v>0</v>
      </c>
      <c r="D23" s="21">
        <v>69</v>
      </c>
      <c r="E23" s="21">
        <v>0</v>
      </c>
      <c r="F23" s="21">
        <v>0</v>
      </c>
      <c r="G23" s="21">
        <f t="shared" si="0"/>
        <v>236</v>
      </c>
    </row>
    <row r="24" spans="1:7">
      <c r="A24" s="19" t="s">
        <v>108</v>
      </c>
      <c r="B24" s="21">
        <v>144</v>
      </c>
      <c r="C24" s="21">
        <v>0</v>
      </c>
      <c r="D24" s="21">
        <v>114</v>
      </c>
      <c r="E24" s="21">
        <v>0</v>
      </c>
      <c r="F24" s="21">
        <v>0</v>
      </c>
      <c r="G24" s="21">
        <f t="shared" si="0"/>
        <v>258</v>
      </c>
    </row>
    <row r="25" spans="1:7">
      <c r="A25" s="19" t="s">
        <v>111</v>
      </c>
      <c r="B25" s="21">
        <v>111</v>
      </c>
      <c r="C25" s="21">
        <v>73</v>
      </c>
      <c r="D25" s="21">
        <v>127</v>
      </c>
      <c r="E25" s="21">
        <v>0</v>
      </c>
      <c r="F25" s="21">
        <v>0</v>
      </c>
      <c r="G25" s="21">
        <f t="shared" si="0"/>
        <v>311</v>
      </c>
    </row>
    <row r="26" spans="1:7">
      <c r="A26" s="19" t="s">
        <v>115</v>
      </c>
      <c r="B26" s="21">
        <v>182</v>
      </c>
      <c r="C26" s="21">
        <v>204</v>
      </c>
      <c r="D26" s="21">
        <v>103</v>
      </c>
      <c r="E26" s="21">
        <v>0</v>
      </c>
      <c r="F26" s="21">
        <v>0</v>
      </c>
      <c r="G26" s="21">
        <f t="shared" si="0"/>
        <v>489</v>
      </c>
    </row>
    <row r="27" spans="1:7">
      <c r="A27" s="19" t="s">
        <v>119</v>
      </c>
      <c r="B27" s="21">
        <v>0</v>
      </c>
      <c r="C27" s="21">
        <v>107</v>
      </c>
      <c r="D27" s="21">
        <v>52</v>
      </c>
      <c r="E27" s="21">
        <v>0</v>
      </c>
      <c r="F27" s="21">
        <v>0</v>
      </c>
      <c r="G27" s="21">
        <f t="shared" si="0"/>
        <v>159</v>
      </c>
    </row>
    <row r="28" spans="1:7">
      <c r="A28" s="19" t="s">
        <v>122</v>
      </c>
      <c r="B28" s="21">
        <v>267</v>
      </c>
      <c r="C28" s="21">
        <v>0</v>
      </c>
      <c r="D28" s="21">
        <v>258</v>
      </c>
      <c r="E28" s="21">
        <v>0</v>
      </c>
      <c r="F28" s="21">
        <v>0</v>
      </c>
      <c r="G28" s="21">
        <f t="shared" si="0"/>
        <v>525</v>
      </c>
    </row>
    <row r="29" spans="1:7">
      <c r="A29" s="19" t="s">
        <v>125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f t="shared" si="0"/>
        <v>0</v>
      </c>
    </row>
    <row r="30" spans="1:7">
      <c r="A30" s="19" t="s">
        <v>126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f t="shared" si="0"/>
        <v>0</v>
      </c>
    </row>
    <row r="31" ht="15.95" spans="1:7">
      <c r="A31" s="22" t="s">
        <v>341</v>
      </c>
      <c r="B31" s="23">
        <f t="shared" ref="B31:G31" si="1">SUM(B5:B30)</f>
        <v>3067</v>
      </c>
      <c r="C31" s="23">
        <f t="shared" si="1"/>
        <v>2391</v>
      </c>
      <c r="D31" s="23">
        <f t="shared" si="1"/>
        <v>2354</v>
      </c>
      <c r="E31" s="23">
        <f t="shared" si="1"/>
        <v>1285</v>
      </c>
      <c r="F31" s="23">
        <f t="shared" si="1"/>
        <v>320</v>
      </c>
      <c r="G31" s="23">
        <f t="shared" si="1"/>
        <v>9417</v>
      </c>
    </row>
    <row r="32" ht="15.95"/>
  </sheetData>
  <mergeCells count="2">
    <mergeCell ref="A1:G1"/>
    <mergeCell ref="A2:G2"/>
  </mergeCells>
  <conditionalFormatting sqref="B5:F30">
    <cfRule type="colorScale" priority="1">
      <colorScale>
        <cfvo type="min"/>
        <cfvo type="percentile" val="50"/>
        <cfvo type="max"/>
        <color rgb="FFFFFFFF"/>
        <color rgb="FFE2F0D9"/>
        <color rgb="FF548235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showGridLines="0" workbookViewId="0">
      <selection activeCell="A1" sqref="A1:G1"/>
    </sheetView>
  </sheetViews>
  <sheetFormatPr defaultColWidth="9" defaultRowHeight="15.2" outlineLevelCol="6"/>
  <cols>
    <col min="1" max="1" width="27" customWidth="1"/>
    <col min="2" max="7" width="15" customWidth="1"/>
  </cols>
  <sheetData>
    <row r="1" ht="30" customHeight="1" spans="1:7">
      <c r="A1" s="17" t="s">
        <v>346</v>
      </c>
      <c r="B1" s="17"/>
      <c r="C1" s="17"/>
      <c r="D1" s="17"/>
      <c r="E1" s="17"/>
      <c r="F1" s="17"/>
      <c r="G1" s="17"/>
    </row>
    <row r="2" ht="34" customHeight="1" spans="1:7">
      <c r="A2" s="18" t="s">
        <v>347</v>
      </c>
      <c r="B2" s="18"/>
      <c r="C2" s="18"/>
      <c r="D2" s="18"/>
      <c r="E2" s="18"/>
      <c r="F2" s="18"/>
      <c r="G2" s="18"/>
    </row>
    <row r="4" ht="24" customHeight="1" spans="1:7">
      <c r="A4" s="6" t="s">
        <v>339</v>
      </c>
      <c r="B4" s="6" t="s">
        <v>21</v>
      </c>
      <c r="C4" s="6" t="s">
        <v>25</v>
      </c>
      <c r="D4" s="6" t="s">
        <v>28</v>
      </c>
      <c r="E4" s="6" t="s">
        <v>32</v>
      </c>
      <c r="F4" s="6" t="s">
        <v>36</v>
      </c>
      <c r="G4" s="6" t="s">
        <v>340</v>
      </c>
    </row>
    <row r="5" spans="1:7">
      <c r="A5" s="19" t="s">
        <v>20</v>
      </c>
      <c r="B5" s="21">
        <f>IF('2026净销售数量'!B5=0,0,IF('2026净销售数量'!B5&lt;口径与门店映射!$C$5/2,0,ROUND('2026净销售数量'!B5/口径与门店映射!$C$5,0)*口径与门店映射!$C$5))</f>
        <v>0</v>
      </c>
      <c r="C5" s="21">
        <f>IF('2026净销售数量'!C5=0,0,IF('2026净销售数量'!C5&lt;口径与门店映射!$C$6/2,0,ROUND('2026净销售数量'!C5/口径与门店映射!$C$6,0)*口径与门店映射!$C$6))</f>
        <v>0</v>
      </c>
      <c r="D5" s="21">
        <f>IF('2026净销售数量'!D5=0,0,IF('2026净销售数量'!D5&lt;口径与门店映射!$C$7/2,0,ROUND('2026净销售数量'!D5/口径与门店映射!$C$7,0)*口径与门店映射!$C$7))</f>
        <v>0</v>
      </c>
      <c r="E5" s="21">
        <f>IF('2026净销售数量'!E5=0,0,IF('2026净销售数量'!E5&lt;口径与门店映射!$C$8/2,0,ROUND('2026净销售数量'!E5/口径与门店映射!$C$8,0)*口径与门店映射!$C$8))</f>
        <v>0</v>
      </c>
      <c r="F5" s="21">
        <f>IF('2026净销售数量'!F5=0,0,IF('2026净销售数量'!F5&lt;口径与门店映射!$C$9/2,0,ROUND('2026净销售数量'!F5/口径与门店映射!$C$9,0)*口径与门店映射!$C$9))</f>
        <v>0</v>
      </c>
      <c r="G5" s="21">
        <f t="shared" ref="G5:G30" si="0">SUM(B5:F5)</f>
        <v>0</v>
      </c>
    </row>
    <row r="6" spans="1:7">
      <c r="A6" s="19" t="s">
        <v>39</v>
      </c>
      <c r="B6" s="21">
        <f>IF('2026净销售数量'!B6=0,0,IF('2026净销售数量'!B6&lt;口径与门店映射!$C$5/2,0,ROUND('2026净销售数量'!B6/口径与门店映射!$C$5,0)*口径与门店映射!$C$5))</f>
        <v>144</v>
      </c>
      <c r="C6" s="21">
        <f>IF('2026净销售数量'!C6=0,0,IF('2026净销售数量'!C6&lt;口径与门店映射!$C$6/2,0,ROUND('2026净销售数量'!C6/口径与门店映射!$C$6,0)*口径与门店映射!$C$6))</f>
        <v>144</v>
      </c>
      <c r="D6" s="21">
        <f>IF('2026净销售数量'!D6=0,0,IF('2026净销售数量'!D6&lt;口径与门店映射!$C$7/2,0,ROUND('2026净销售数量'!D6/口径与门店映射!$C$7,0)*口径与门店映射!$C$7))</f>
        <v>144</v>
      </c>
      <c r="E6" s="21">
        <f>IF('2026净销售数量'!E6=0,0,IF('2026净销售数量'!E6&lt;口径与门店映射!$C$8/2,0,ROUND('2026净销售数量'!E6/口径与门店映射!$C$8,0)*口径与门店映射!$C$8))</f>
        <v>0</v>
      </c>
      <c r="F6" s="21">
        <f>IF('2026净销售数量'!F6=0,0,IF('2026净销售数量'!F6&lt;口径与门店映射!$C$9/2,0,ROUND('2026净销售数量'!F6/口径与门店映射!$C$9,0)*口径与门店映射!$C$9))</f>
        <v>0</v>
      </c>
      <c r="G6" s="21">
        <f t="shared" si="0"/>
        <v>432</v>
      </c>
    </row>
    <row r="7" spans="1:7">
      <c r="A7" s="19" t="s">
        <v>43</v>
      </c>
      <c r="B7" s="21">
        <f>IF('2026净销售数量'!B7=0,0,IF('2026净销售数量'!B7&lt;口径与门店映射!$C$5/2,0,ROUND('2026净销售数量'!B7/口径与门店映射!$C$5,0)*口径与门店映射!$C$5))</f>
        <v>144</v>
      </c>
      <c r="C7" s="21">
        <f>IF('2026净销售数量'!C7=0,0,IF('2026净销售数量'!C7&lt;口径与门店映射!$C$6/2,0,ROUND('2026净销售数量'!C7/口径与门店映射!$C$6,0)*口径与门店映射!$C$6))</f>
        <v>288</v>
      </c>
      <c r="D7" s="21">
        <f>IF('2026净销售数量'!D7=0,0,IF('2026净销售数量'!D7&lt;口径与门店映射!$C$7/2,0,ROUND('2026净销售数量'!D7/口径与门店映射!$C$7,0)*口径与门店映射!$C$7))</f>
        <v>144</v>
      </c>
      <c r="E7" s="21">
        <f>IF('2026净销售数量'!E7=0,0,IF('2026净销售数量'!E7&lt;口径与门店映射!$C$8/2,0,ROUND('2026净销售数量'!E7/口径与门店映射!$C$8,0)*口径与门店映射!$C$8))</f>
        <v>0</v>
      </c>
      <c r="F7" s="21">
        <f>IF('2026净销售数量'!F7=0,0,IF('2026净销售数量'!F7&lt;口径与门店映射!$C$9/2,0,ROUND('2026净销售数量'!F7/口径与门店映射!$C$9,0)*口径与门店映射!$C$9))</f>
        <v>0</v>
      </c>
      <c r="G7" s="21">
        <f t="shared" si="0"/>
        <v>576</v>
      </c>
    </row>
    <row r="8" spans="1:7">
      <c r="A8" s="19" t="s">
        <v>47</v>
      </c>
      <c r="B8" s="21">
        <f>IF('2026净销售数量'!B8=0,0,IF('2026净销售数量'!B8&lt;口径与门店映射!$C$5/2,0,ROUND('2026净销售数量'!B8/口径与门店映射!$C$5,0)*口径与门店映射!$C$5))</f>
        <v>144</v>
      </c>
      <c r="C8" s="21">
        <f>IF('2026净销售数量'!C8=0,0,IF('2026净销售数量'!C8&lt;口径与门店映射!$C$6/2,0,ROUND('2026净销售数量'!C8/口径与门店映射!$C$6,0)*口径与门店映射!$C$6))</f>
        <v>0</v>
      </c>
      <c r="D8" s="21">
        <f>IF('2026净销售数量'!D8=0,0,IF('2026净销售数量'!D8&lt;口径与门店映射!$C$7/2,0,ROUND('2026净销售数量'!D8/口径与门店映射!$C$7,0)*口径与门店映射!$C$7))</f>
        <v>144</v>
      </c>
      <c r="E8" s="21">
        <f>IF('2026净销售数量'!E8=0,0,IF('2026净销售数量'!E8&lt;口径与门店映射!$C$8/2,0,ROUND('2026净销售数量'!E8/口径与门店映射!$C$8,0)*口径与门店映射!$C$8))</f>
        <v>0</v>
      </c>
      <c r="F8" s="21">
        <f>IF('2026净销售数量'!F8=0,0,IF('2026净销售数量'!F8&lt;口径与门店映射!$C$9/2,0,ROUND('2026净销售数量'!F8/口径与门店映射!$C$9,0)*口径与门店映射!$C$9))</f>
        <v>0</v>
      </c>
      <c r="G8" s="21">
        <f t="shared" si="0"/>
        <v>288</v>
      </c>
    </row>
    <row r="9" spans="1:7">
      <c r="A9" s="19" t="s">
        <v>51</v>
      </c>
      <c r="B9" s="21">
        <f>IF('2026净销售数量'!B9=0,0,IF('2026净销售数量'!B9&lt;口径与门店映射!$C$5/2,0,ROUND('2026净销售数量'!B9/口径与门店映射!$C$5,0)*口径与门店映射!$C$5))</f>
        <v>0</v>
      </c>
      <c r="C9" s="21">
        <f>IF('2026净销售数量'!C9=0,0,IF('2026净销售数量'!C9&lt;口径与门店映射!$C$6/2,0,ROUND('2026净销售数量'!C9/口径与门店映射!$C$6,0)*口径与门店映射!$C$6))</f>
        <v>0</v>
      </c>
      <c r="D9" s="21">
        <f>IF('2026净销售数量'!D9=0,0,IF('2026净销售数量'!D9&lt;口径与门店映射!$C$7/2,0,ROUND('2026净销售数量'!D9/口径与门店映射!$C$7,0)*口径与门店映射!$C$7))</f>
        <v>144</v>
      </c>
      <c r="E9" s="21">
        <f>IF('2026净销售数量'!E9=0,0,IF('2026净销售数量'!E9&lt;口径与门店映射!$C$8/2,0,ROUND('2026净销售数量'!E9/口径与门店映射!$C$8,0)*口径与门店映射!$C$8))</f>
        <v>0</v>
      </c>
      <c r="F9" s="21">
        <f>IF('2026净销售数量'!F9=0,0,IF('2026净销售数量'!F9&lt;口径与门店映射!$C$9/2,0,ROUND('2026净销售数量'!F9/口径与门店映射!$C$9,0)*口径与门店映射!$C$9))</f>
        <v>0</v>
      </c>
      <c r="G9" s="21">
        <f t="shared" si="0"/>
        <v>144</v>
      </c>
    </row>
    <row r="10" spans="1:7">
      <c r="A10" s="19" t="s">
        <v>54</v>
      </c>
      <c r="B10" s="21">
        <f>IF('2026净销售数量'!B10=0,0,IF('2026净销售数量'!B10&lt;口径与门店映射!$C$5/2,0,ROUND('2026净销售数量'!B10/口径与门店映射!$C$5,0)*口径与门店映射!$C$5))</f>
        <v>144</v>
      </c>
      <c r="C10" s="21">
        <f>IF('2026净销售数量'!C10=0,0,IF('2026净销售数量'!C10&lt;口径与门店映射!$C$6/2,0,ROUND('2026净销售数量'!C10/口径与门店映射!$C$6,0)*口径与门店映射!$C$6))</f>
        <v>144</v>
      </c>
      <c r="D10" s="21">
        <f>IF('2026净销售数量'!D10=0,0,IF('2026净销售数量'!D10&lt;口径与门店映射!$C$7/2,0,ROUND('2026净销售数量'!D10/口径与门店映射!$C$7,0)*口径与门店映射!$C$7))</f>
        <v>0</v>
      </c>
      <c r="E10" s="21">
        <f>IF('2026净销售数量'!E10=0,0,IF('2026净销售数量'!E10&lt;口径与门店映射!$C$8/2,0,ROUND('2026净销售数量'!E10/口径与门店映射!$C$8,0)*口径与门店映射!$C$8))</f>
        <v>0</v>
      </c>
      <c r="F10" s="21">
        <f>IF('2026净销售数量'!F10=0,0,IF('2026净销售数量'!F10&lt;口径与门店映射!$C$9/2,0,ROUND('2026净销售数量'!F10/口径与门店映射!$C$9,0)*口径与门店映射!$C$9))</f>
        <v>0</v>
      </c>
      <c r="G10" s="21">
        <f t="shared" si="0"/>
        <v>288</v>
      </c>
    </row>
    <row r="11" spans="1:7">
      <c r="A11" s="19" t="s">
        <v>57</v>
      </c>
      <c r="B11" s="21">
        <f>IF('2026净销售数量'!B11=0,0,IF('2026净销售数量'!B11&lt;口径与门店映射!$C$5/2,0,ROUND('2026净销售数量'!B11/口径与门店映射!$C$5,0)*口径与门店映射!$C$5))</f>
        <v>144</v>
      </c>
      <c r="C11" s="21">
        <f>IF('2026净销售数量'!C11=0,0,IF('2026净销售数量'!C11&lt;口径与门店映射!$C$6/2,0,ROUND('2026净销售数量'!C11/口径与门店映射!$C$6,0)*口径与门店映射!$C$6))</f>
        <v>144</v>
      </c>
      <c r="D11" s="21">
        <f>IF('2026净销售数量'!D11=0,0,IF('2026净销售数量'!D11&lt;口径与门店映射!$C$7/2,0,ROUND('2026净销售数量'!D11/口径与门店映射!$C$7,0)*口径与门店映射!$C$7))</f>
        <v>144</v>
      </c>
      <c r="E11" s="21">
        <f>IF('2026净销售数量'!E11=0,0,IF('2026净销售数量'!E11&lt;口径与门店映射!$C$8/2,0,ROUND('2026净销售数量'!E11/口径与门店映射!$C$8,0)*口径与门店映射!$C$8))</f>
        <v>300</v>
      </c>
      <c r="F11" s="21">
        <f>IF('2026净销售数量'!F11=0,0,IF('2026净销售数量'!F11&lt;口径与门店映射!$C$9/2,0,ROUND('2026净销售数量'!F11/口径与门店映射!$C$9,0)*口径与门店映射!$C$9))</f>
        <v>0</v>
      </c>
      <c r="G11" s="21">
        <f t="shared" si="0"/>
        <v>732</v>
      </c>
    </row>
    <row r="12" spans="1:7">
      <c r="A12" s="19" t="s">
        <v>63</v>
      </c>
      <c r="B12" s="21">
        <f>IF('2026净销售数量'!B12=0,0,IF('2026净销售数量'!B12&lt;口径与门店映射!$C$5/2,0,ROUND('2026净销售数量'!B12/口径与门店映射!$C$5,0)*口径与门店映射!$C$5))</f>
        <v>144</v>
      </c>
      <c r="C12" s="21">
        <f>IF('2026净销售数量'!C12=0,0,IF('2026净销售数量'!C12&lt;口径与门店映射!$C$6/2,0,ROUND('2026净销售数量'!C12/口径与门店映射!$C$6,0)*口径与门店映射!$C$6))</f>
        <v>144</v>
      </c>
      <c r="D12" s="21">
        <f>IF('2026净销售数量'!D12=0,0,IF('2026净销售数量'!D12&lt;口径与门店映射!$C$7/2,0,ROUND('2026净销售数量'!D12/口径与门店映射!$C$7,0)*口径与门店映射!$C$7))</f>
        <v>0</v>
      </c>
      <c r="E12" s="21">
        <f>IF('2026净销售数量'!E12=0,0,IF('2026净销售数量'!E12&lt;口径与门店映射!$C$8/2,0,ROUND('2026净销售数量'!E12/口径与门店映射!$C$8,0)*口径与门店映射!$C$8))</f>
        <v>0</v>
      </c>
      <c r="F12" s="21">
        <f>IF('2026净销售数量'!F12=0,0,IF('2026净销售数量'!F12&lt;口径与门店映射!$C$9/2,0,ROUND('2026净销售数量'!F12/口径与门店映射!$C$9,0)*口径与门店映射!$C$9))</f>
        <v>0</v>
      </c>
      <c r="G12" s="21">
        <f t="shared" si="0"/>
        <v>288</v>
      </c>
    </row>
    <row r="13" spans="1:7">
      <c r="A13" s="19" t="s">
        <v>66</v>
      </c>
      <c r="B13" s="21">
        <f>IF('2026净销售数量'!B13=0,0,IF('2026净销售数量'!B13&lt;口径与门店映射!$C$5/2,0,ROUND('2026净销售数量'!B13/口径与门店映射!$C$5,0)*口径与门店映射!$C$5))</f>
        <v>288</v>
      </c>
      <c r="C13" s="21">
        <f>IF('2026净销售数量'!C13=0,0,IF('2026净销售数量'!C13&lt;口径与门店映射!$C$6/2,0,ROUND('2026净销售数量'!C13/口径与门店映射!$C$6,0)*口径与门店映射!$C$6))</f>
        <v>144</v>
      </c>
      <c r="D13" s="21">
        <f>IF('2026净销售数量'!D13=0,0,IF('2026净销售数量'!D13&lt;口径与门店映射!$C$7/2,0,ROUND('2026净销售数量'!D13/口径与门店映射!$C$7,0)*口径与门店映射!$C$7))</f>
        <v>144</v>
      </c>
      <c r="E13" s="21">
        <f>IF('2026净销售数量'!E13=0,0,IF('2026净销售数量'!E13&lt;口径与门店映射!$C$8/2,0,ROUND('2026净销售数量'!E13/口径与门店映射!$C$8,0)*口径与门店映射!$C$8))</f>
        <v>0</v>
      </c>
      <c r="F13" s="21">
        <f>IF('2026净销售数量'!F13=0,0,IF('2026净销售数量'!F13&lt;口径与门店映射!$C$9/2,0,ROUND('2026净销售数量'!F13/口径与门店映射!$C$9,0)*口径与门店映射!$C$9))</f>
        <v>0</v>
      </c>
      <c r="G13" s="21">
        <f t="shared" si="0"/>
        <v>576</v>
      </c>
    </row>
    <row r="14" spans="1:7">
      <c r="A14" s="19" t="s">
        <v>70</v>
      </c>
      <c r="B14" s="21">
        <f>IF('2026净销售数量'!B14=0,0,IF('2026净销售数量'!B14&lt;口径与门店映射!$C$5/2,0,ROUND('2026净销售数量'!B14/口径与门店映射!$C$5,0)*口径与门店映射!$C$5))</f>
        <v>144</v>
      </c>
      <c r="C14" s="21">
        <f>IF('2026净销售数量'!C14=0,0,IF('2026净销售数量'!C14&lt;口径与门店映射!$C$6/2,0,ROUND('2026净销售数量'!C14/口径与门店映射!$C$6,0)*口径与门店映射!$C$6))</f>
        <v>144</v>
      </c>
      <c r="D14" s="21">
        <f>IF('2026净销售数量'!D14=0,0,IF('2026净销售数量'!D14&lt;口径与门店映射!$C$7/2,0,ROUND('2026净销售数量'!D14/口径与门店映射!$C$7,0)*口径与门店映射!$C$7))</f>
        <v>144</v>
      </c>
      <c r="E14" s="21">
        <f>IF('2026净销售数量'!E14=0,0,IF('2026净销售数量'!E14&lt;口径与门店映射!$C$8/2,0,ROUND('2026净销售数量'!E14/口径与门店映射!$C$8,0)*口径与门店映射!$C$8))</f>
        <v>0</v>
      </c>
      <c r="F14" s="21">
        <f>IF('2026净销售数量'!F14=0,0,IF('2026净销售数量'!F14&lt;口径与门店映射!$C$9/2,0,ROUND('2026净销售数量'!F14/口径与门店映射!$C$9,0)*口径与门店映射!$C$9))</f>
        <v>0</v>
      </c>
      <c r="G14" s="21">
        <f t="shared" si="0"/>
        <v>432</v>
      </c>
    </row>
    <row r="15" spans="1:7">
      <c r="A15" s="19" t="s">
        <v>74</v>
      </c>
      <c r="B15" s="21">
        <f>IF('2026净销售数量'!B15=0,0,IF('2026净销售数量'!B15&lt;口径与门店映射!$C$5/2,0,ROUND('2026净销售数量'!B15/口径与门店映射!$C$5,0)*口径与门店映射!$C$5))</f>
        <v>0</v>
      </c>
      <c r="C15" s="21">
        <f>IF('2026净销售数量'!C15=0,0,IF('2026净销售数量'!C15&lt;口径与门店映射!$C$6/2,0,ROUND('2026净销售数量'!C15/口径与门店映射!$C$6,0)*口径与门店映射!$C$6))</f>
        <v>144</v>
      </c>
      <c r="D15" s="21">
        <f>IF('2026净销售数量'!D15=0,0,IF('2026净销售数量'!D15&lt;口径与门店映射!$C$7/2,0,ROUND('2026净销售数量'!D15/口径与门店映射!$C$7,0)*口径与门店映射!$C$7))</f>
        <v>144</v>
      </c>
      <c r="E15" s="21">
        <f>IF('2026净销售数量'!E15=0,0,IF('2026净销售数量'!E15&lt;口径与门店映射!$C$8/2,0,ROUND('2026净销售数量'!E15/口径与门店映射!$C$8,0)*口径与门店映射!$C$8))</f>
        <v>0</v>
      </c>
      <c r="F15" s="21">
        <f>IF('2026净销售数量'!F15=0,0,IF('2026净销售数量'!F15&lt;口径与门店映射!$C$9/2,0,ROUND('2026净销售数量'!F15/口径与门店映射!$C$9,0)*口径与门店映射!$C$9))</f>
        <v>0</v>
      </c>
      <c r="G15" s="21">
        <f t="shared" si="0"/>
        <v>288</v>
      </c>
    </row>
    <row r="16" spans="1:7">
      <c r="A16" s="19" t="s">
        <v>78</v>
      </c>
      <c r="B16" s="21">
        <f>IF('2026净销售数量'!B16=0,0,IF('2026净销售数量'!B16&lt;口径与门店映射!$C$5/2,0,ROUND('2026净销售数量'!B16/口径与门店映射!$C$5,0)*口径与门店映射!$C$5))</f>
        <v>144</v>
      </c>
      <c r="C16" s="21">
        <f>IF('2026净销售数量'!C16=0,0,IF('2026净销售数量'!C16&lt;口径与门店映射!$C$6/2,0,ROUND('2026净销售数量'!C16/口径与门店映射!$C$6,0)*口径与门店映射!$C$6))</f>
        <v>144</v>
      </c>
      <c r="D16" s="21">
        <f>IF('2026净销售数量'!D16=0,0,IF('2026净销售数量'!D16&lt;口径与门店映射!$C$7/2,0,ROUND('2026净销售数量'!D16/口径与门店映射!$C$7,0)*口径与门店映射!$C$7))</f>
        <v>144</v>
      </c>
      <c r="E16" s="21">
        <f>IF('2026净销售数量'!E16=0,0,IF('2026净销售数量'!E16&lt;口径与门店映射!$C$8/2,0,ROUND('2026净销售数量'!E16/口径与门店映射!$C$8,0)*口径与门店映射!$C$8))</f>
        <v>0</v>
      </c>
      <c r="F16" s="21">
        <f>IF('2026净销售数量'!F16=0,0,IF('2026净销售数量'!F16&lt;口径与门店映射!$C$9/2,0,ROUND('2026净销售数量'!F16/口径与门店映射!$C$9,0)*口径与门店映射!$C$9))</f>
        <v>300</v>
      </c>
      <c r="G16" s="21">
        <f t="shared" si="0"/>
        <v>732</v>
      </c>
    </row>
    <row r="17" spans="1:7">
      <c r="A17" s="19" t="s">
        <v>84</v>
      </c>
      <c r="B17" s="21">
        <f>IF('2026净销售数量'!B17=0,0,IF('2026净销售数量'!B17&lt;口径与门店映射!$C$5/2,0,ROUND('2026净销售数量'!B17/口径与门店映射!$C$5,0)*口径与门店映射!$C$5))</f>
        <v>144</v>
      </c>
      <c r="C17" s="21">
        <f>IF('2026净销售数量'!C17=0,0,IF('2026净销售数量'!C17&lt;口径与门店映射!$C$6/2,0,ROUND('2026净销售数量'!C17/口径与门店映射!$C$6,0)*口径与门店映射!$C$6))</f>
        <v>0</v>
      </c>
      <c r="D17" s="21">
        <f>IF('2026净销售数量'!D17=0,0,IF('2026净销售数量'!D17&lt;口径与门店映射!$C$7/2,0,ROUND('2026净销售数量'!D17/口径与门店映射!$C$7,0)*口径与门店映射!$C$7))</f>
        <v>144</v>
      </c>
      <c r="E17" s="21">
        <f>IF('2026净销售数量'!E17=0,0,IF('2026净销售数量'!E17&lt;口径与门店映射!$C$8/2,0,ROUND('2026净销售数量'!E17/口径与门店映射!$C$8,0)*口径与门店映射!$C$8))</f>
        <v>0</v>
      </c>
      <c r="F17" s="21">
        <f>IF('2026净销售数量'!F17=0,0,IF('2026净销售数量'!F17&lt;口径与门店映射!$C$9/2,0,ROUND('2026净销售数量'!F17/口径与门店映射!$C$9,0)*口径与门店映射!$C$9))</f>
        <v>0</v>
      </c>
      <c r="G17" s="21">
        <f t="shared" si="0"/>
        <v>288</v>
      </c>
    </row>
    <row r="18" spans="1:7">
      <c r="A18" s="19" t="s">
        <v>88</v>
      </c>
      <c r="B18" s="21">
        <f>IF('2026净销售数量'!B18=0,0,IF('2026净销售数量'!B18&lt;口径与门店映射!$C$5/2,0,ROUND('2026净销售数量'!B18/口径与门店映射!$C$5,0)*口径与门店映射!$C$5))</f>
        <v>288</v>
      </c>
      <c r="C18" s="21">
        <f>IF('2026净销售数量'!C18=0,0,IF('2026净销售数量'!C18&lt;口径与门店映射!$C$6/2,0,ROUND('2026净销售数量'!C18/口径与门店映射!$C$6,0)*口径与门店映射!$C$6))</f>
        <v>0</v>
      </c>
      <c r="D18" s="21">
        <f>IF('2026净销售数量'!D18=0,0,IF('2026净销售数量'!D18&lt;口径与门店映射!$C$7/2,0,ROUND('2026净销售数量'!D18/口径与门店映射!$C$7,0)*口径与门店映射!$C$7))</f>
        <v>144</v>
      </c>
      <c r="E18" s="21">
        <f>IF('2026净销售数量'!E18=0,0,IF('2026净销售数量'!E18&lt;口径与门店映射!$C$8/2,0,ROUND('2026净销售数量'!E18/口径与门店映射!$C$8,0)*口径与门店映射!$C$8))</f>
        <v>300</v>
      </c>
      <c r="F18" s="21">
        <f>IF('2026净销售数量'!F18=0,0,IF('2026净销售数量'!F18&lt;口径与门店映射!$C$9/2,0,ROUND('2026净销售数量'!F18/口径与门店映射!$C$9,0)*口径与门店映射!$C$9))</f>
        <v>0</v>
      </c>
      <c r="G18" s="21">
        <f t="shared" si="0"/>
        <v>732</v>
      </c>
    </row>
    <row r="19" spans="1:7">
      <c r="A19" s="19" t="s">
        <v>93</v>
      </c>
      <c r="B19" s="21">
        <f>IF('2026净销售数量'!B19=0,0,IF('2026净销售数量'!B19&lt;口径与门店映射!$C$5/2,0,ROUND('2026净销售数量'!B19/口径与门店映射!$C$5,0)*口径与门店映射!$C$5))</f>
        <v>144</v>
      </c>
      <c r="C19" s="21">
        <f>IF('2026净销售数量'!C19=0,0,IF('2026净销售数量'!C19&lt;口径与门店映射!$C$6/2,0,ROUND('2026净销售数量'!C19/口径与门店映射!$C$6,0)*口径与门店映射!$C$6))</f>
        <v>144</v>
      </c>
      <c r="D19" s="21">
        <f>IF('2026净销售数量'!D19=0,0,IF('2026净销售数量'!D19&lt;口径与门店映射!$C$7/2,0,ROUND('2026净销售数量'!D19/口径与门店映射!$C$7,0)*口径与门店映射!$C$7))</f>
        <v>0</v>
      </c>
      <c r="E19" s="21">
        <f>IF('2026净销售数量'!E19=0,0,IF('2026净销售数量'!E19&lt;口径与门店映射!$C$8/2,0,ROUND('2026净销售数量'!E19/口径与门店映射!$C$8,0)*口径与门店映射!$C$8))</f>
        <v>0</v>
      </c>
      <c r="F19" s="21">
        <f>IF('2026净销售数量'!F19=0,0,IF('2026净销售数量'!F19&lt;口径与门店映射!$C$9/2,0,ROUND('2026净销售数量'!F19/口径与门店映射!$C$9,0)*口径与门店映射!$C$9))</f>
        <v>0</v>
      </c>
      <c r="G19" s="21">
        <f t="shared" si="0"/>
        <v>288</v>
      </c>
    </row>
    <row r="20" spans="1:7">
      <c r="A20" s="19" t="s">
        <v>96</v>
      </c>
      <c r="B20" s="21">
        <f>IF('2026净销售数量'!B20=0,0,IF('2026净销售数量'!B20&lt;口径与门店映射!$C$5/2,0,ROUND('2026净销售数量'!B20/口径与门店映射!$C$5,0)*口径与门店映射!$C$5))</f>
        <v>0</v>
      </c>
      <c r="C20" s="21">
        <f>IF('2026净销售数量'!C20=0,0,IF('2026净销售数量'!C20&lt;口径与门店映射!$C$6/2,0,ROUND('2026净销售数量'!C20/口径与门店映射!$C$6,0)*口径与门店映射!$C$6))</f>
        <v>288</v>
      </c>
      <c r="D20" s="21">
        <f>IF('2026净销售数量'!D20=0,0,IF('2026净销售数量'!D20&lt;口径与门店映射!$C$7/2,0,ROUND('2026净销售数量'!D20/口径与门店映射!$C$7,0)*口径与门店映射!$C$7))</f>
        <v>144</v>
      </c>
      <c r="E20" s="21">
        <f>IF('2026净销售数量'!E20=0,0,IF('2026净销售数量'!E20&lt;口径与门店映射!$C$8/2,0,ROUND('2026净销售数量'!E20/口径与门店映射!$C$8,0)*口径与门店映射!$C$8))</f>
        <v>0</v>
      </c>
      <c r="F20" s="21">
        <f>IF('2026净销售数量'!F20=0,0,IF('2026净销售数量'!F20&lt;口径与门店映射!$C$9/2,0,ROUND('2026净销售数量'!F20/口径与门店映射!$C$9,0)*口径与门店映射!$C$9))</f>
        <v>0</v>
      </c>
      <c r="G20" s="21">
        <f t="shared" si="0"/>
        <v>432</v>
      </c>
    </row>
    <row r="21" spans="1:7">
      <c r="A21" s="19" t="s">
        <v>99</v>
      </c>
      <c r="B21" s="21">
        <f>IF('2026净销售数量'!B21=0,0,IF('2026净销售数量'!B21&lt;口径与门店映射!$C$5/2,0,ROUND('2026净销售数量'!B21/口径与门店映射!$C$5,0)*口径与门店映射!$C$5))</f>
        <v>144</v>
      </c>
      <c r="C21" s="21">
        <f>IF('2026净销售数量'!C21=0,0,IF('2026净销售数量'!C21&lt;口径与门店映射!$C$6/2,0,ROUND('2026净销售数量'!C21/口径与门店映射!$C$6,0)*口径与门店映射!$C$6))</f>
        <v>0</v>
      </c>
      <c r="D21" s="21">
        <f>IF('2026净销售数量'!D21=0,0,IF('2026净销售数量'!D21&lt;口径与门店映射!$C$7/2,0,ROUND('2026净销售数量'!D21/口径与门店映射!$C$7,0)*口径与门店映射!$C$7))</f>
        <v>0</v>
      </c>
      <c r="E21" s="21">
        <f>IF('2026净销售数量'!E21=0,0,IF('2026净销售数量'!E21&lt;口径与门店映射!$C$8/2,0,ROUND('2026净销售数量'!E21/口径与门店映射!$C$8,0)*口径与门店映射!$C$8))</f>
        <v>300</v>
      </c>
      <c r="F21" s="21">
        <f>IF('2026净销售数量'!F21=0,0,IF('2026净销售数量'!F21&lt;口径与门店映射!$C$9/2,0,ROUND('2026净销售数量'!F21/口径与门店映射!$C$9,0)*口径与门店映射!$C$9))</f>
        <v>0</v>
      </c>
      <c r="G21" s="21">
        <f t="shared" si="0"/>
        <v>444</v>
      </c>
    </row>
    <row r="22" spans="1:7">
      <c r="A22" s="19" t="s">
        <v>102</v>
      </c>
      <c r="B22" s="21">
        <f>IF('2026净销售数量'!B22=0,0,IF('2026净销售数量'!B22&lt;口径与门店映射!$C$5/2,0,ROUND('2026净销售数量'!B22/口径与门店映射!$C$5,0)*口径与门店映射!$C$5))</f>
        <v>0</v>
      </c>
      <c r="C22" s="21">
        <f>IF('2026净销售数量'!C22=0,0,IF('2026净销售数量'!C22&lt;口径与门店映射!$C$6/2,0,ROUND('2026净销售数量'!C22/口径与门店映射!$C$6,0)*口径与门店映射!$C$6))</f>
        <v>288</v>
      </c>
      <c r="D22" s="21">
        <f>IF('2026净销售数量'!D22=0,0,IF('2026净销售数量'!D22&lt;口径与门店映射!$C$7/2,0,ROUND('2026净销售数量'!D22/口径与门店映射!$C$7,0)*口径与门店映射!$C$7))</f>
        <v>0</v>
      </c>
      <c r="E22" s="21">
        <f>IF('2026净销售数量'!E22=0,0,IF('2026净销售数量'!E22&lt;口径与门店映射!$C$8/2,0,ROUND('2026净销售数量'!E22/口径与门店映射!$C$8,0)*口径与门店映射!$C$8))</f>
        <v>300</v>
      </c>
      <c r="F22" s="21">
        <f>IF('2026净销售数量'!F22=0,0,IF('2026净销售数量'!F22&lt;口径与门店映射!$C$9/2,0,ROUND('2026净销售数量'!F22/口径与门店映射!$C$9,0)*口径与门店映射!$C$9))</f>
        <v>0</v>
      </c>
      <c r="G22" s="21">
        <f t="shared" si="0"/>
        <v>588</v>
      </c>
    </row>
    <row r="23" spans="1:7">
      <c r="A23" s="19" t="s">
        <v>105</v>
      </c>
      <c r="B23" s="21">
        <f>IF('2026净销售数量'!B23=0,0,IF('2026净销售数量'!B23&lt;口径与门店映射!$C$5/2,0,ROUND('2026净销售数量'!B23/口径与门店映射!$C$5,0)*口径与门店映射!$C$5))</f>
        <v>144</v>
      </c>
      <c r="C23" s="21">
        <f>IF('2026净销售数量'!C23=0,0,IF('2026净销售数量'!C23&lt;口径与门店映射!$C$6/2,0,ROUND('2026净销售数量'!C23/口径与门店映射!$C$6,0)*口径与门店映射!$C$6))</f>
        <v>0</v>
      </c>
      <c r="D23" s="21">
        <f>IF('2026净销售数量'!D23=0,0,IF('2026净销售数量'!D23&lt;口径与门店映射!$C$7/2,0,ROUND('2026净销售数量'!D23/口径与门店映射!$C$7,0)*口径与门店映射!$C$7))</f>
        <v>0</v>
      </c>
      <c r="E23" s="21">
        <f>IF('2026净销售数量'!E23=0,0,IF('2026净销售数量'!E23&lt;口径与门店映射!$C$8/2,0,ROUND('2026净销售数量'!E23/口径与门店映射!$C$8,0)*口径与门店映射!$C$8))</f>
        <v>0</v>
      </c>
      <c r="F23" s="21">
        <f>IF('2026净销售数量'!F23=0,0,IF('2026净销售数量'!F23&lt;口径与门店映射!$C$9/2,0,ROUND('2026净销售数量'!F23/口径与门店映射!$C$9,0)*口径与门店映射!$C$9))</f>
        <v>0</v>
      </c>
      <c r="G23" s="21">
        <f t="shared" si="0"/>
        <v>144</v>
      </c>
    </row>
    <row r="24" spans="1:7">
      <c r="A24" s="19" t="s">
        <v>108</v>
      </c>
      <c r="B24" s="21">
        <f>IF('2026净销售数量'!B24=0,0,IF('2026净销售数量'!B24&lt;口径与门店映射!$C$5/2,0,ROUND('2026净销售数量'!B24/口径与门店映射!$C$5,0)*口径与门店映射!$C$5))</f>
        <v>144</v>
      </c>
      <c r="C24" s="21">
        <f>IF('2026净销售数量'!C24=0,0,IF('2026净销售数量'!C24&lt;口径与门店映射!$C$6/2,0,ROUND('2026净销售数量'!C24/口径与门店映射!$C$6,0)*口径与门店映射!$C$6))</f>
        <v>0</v>
      </c>
      <c r="D24" s="21">
        <f>IF('2026净销售数量'!D24=0,0,IF('2026净销售数量'!D24&lt;口径与门店映射!$C$7/2,0,ROUND('2026净销售数量'!D24/口径与门店映射!$C$7,0)*口径与门店映射!$C$7))</f>
        <v>144</v>
      </c>
      <c r="E24" s="21">
        <f>IF('2026净销售数量'!E24=0,0,IF('2026净销售数量'!E24&lt;口径与门店映射!$C$8/2,0,ROUND('2026净销售数量'!E24/口径与门店映射!$C$8,0)*口径与门店映射!$C$8))</f>
        <v>0</v>
      </c>
      <c r="F24" s="21">
        <f>IF('2026净销售数量'!F24=0,0,IF('2026净销售数量'!F24&lt;口径与门店映射!$C$9/2,0,ROUND('2026净销售数量'!F24/口径与门店映射!$C$9,0)*口径与门店映射!$C$9))</f>
        <v>0</v>
      </c>
      <c r="G24" s="21">
        <f t="shared" si="0"/>
        <v>288</v>
      </c>
    </row>
    <row r="25" spans="1:7">
      <c r="A25" s="19" t="s">
        <v>111</v>
      </c>
      <c r="B25" s="21">
        <f>IF('2026净销售数量'!B25=0,0,IF('2026净销售数量'!B25&lt;口径与门店映射!$C$5/2,0,ROUND('2026净销售数量'!B25/口径与门店映射!$C$5,0)*口径与门店映射!$C$5))</f>
        <v>144</v>
      </c>
      <c r="C25" s="21">
        <f>IF('2026净销售数量'!C25=0,0,IF('2026净销售数量'!C25&lt;口径与门店映射!$C$6/2,0,ROUND('2026净销售数量'!C25/口径与门店映射!$C$6,0)*口径与门店映射!$C$6))</f>
        <v>144</v>
      </c>
      <c r="D25" s="21">
        <f>IF('2026净销售数量'!D25=0,0,IF('2026净销售数量'!D25&lt;口径与门店映射!$C$7/2,0,ROUND('2026净销售数量'!D25/口径与门店映射!$C$7,0)*口径与门店映射!$C$7))</f>
        <v>144</v>
      </c>
      <c r="E25" s="21">
        <f>IF('2026净销售数量'!E25=0,0,IF('2026净销售数量'!E25&lt;口径与门店映射!$C$8/2,0,ROUND('2026净销售数量'!E25/口径与门店映射!$C$8,0)*口径与门店映射!$C$8))</f>
        <v>0</v>
      </c>
      <c r="F25" s="21">
        <f>IF('2026净销售数量'!F25=0,0,IF('2026净销售数量'!F25&lt;口径与门店映射!$C$9/2,0,ROUND('2026净销售数量'!F25/口径与门店映射!$C$9,0)*口径与门店映射!$C$9))</f>
        <v>0</v>
      </c>
      <c r="G25" s="21">
        <f t="shared" si="0"/>
        <v>432</v>
      </c>
    </row>
    <row r="26" spans="1:7">
      <c r="A26" s="19" t="s">
        <v>115</v>
      </c>
      <c r="B26" s="21">
        <f>IF('2026净销售数量'!B26=0,0,IF('2026净销售数量'!B26&lt;口径与门店映射!$C$5/2,0,ROUND('2026净销售数量'!B26/口径与门店映射!$C$5,0)*口径与门店映射!$C$5))</f>
        <v>144</v>
      </c>
      <c r="C26" s="21">
        <f>IF('2026净销售数量'!C26=0,0,IF('2026净销售数量'!C26&lt;口径与门店映射!$C$6/2,0,ROUND('2026净销售数量'!C26/口径与门店映射!$C$6,0)*口径与门店映射!$C$6))</f>
        <v>144</v>
      </c>
      <c r="D26" s="21">
        <f>IF('2026净销售数量'!D26=0,0,IF('2026净销售数量'!D26&lt;口径与门店映射!$C$7/2,0,ROUND('2026净销售数量'!D26/口径与门店映射!$C$7,0)*口径与门店映射!$C$7))</f>
        <v>144</v>
      </c>
      <c r="E26" s="21">
        <f>IF('2026净销售数量'!E26=0,0,IF('2026净销售数量'!E26&lt;口径与门店映射!$C$8/2,0,ROUND('2026净销售数量'!E26/口径与门店映射!$C$8,0)*口径与门店映射!$C$8))</f>
        <v>0</v>
      </c>
      <c r="F26" s="21">
        <f>IF('2026净销售数量'!F26=0,0,IF('2026净销售数量'!F26&lt;口径与门店映射!$C$9/2,0,ROUND('2026净销售数量'!F26/口径与门店映射!$C$9,0)*口径与门店映射!$C$9))</f>
        <v>0</v>
      </c>
      <c r="G26" s="21">
        <f t="shared" si="0"/>
        <v>432</v>
      </c>
    </row>
    <row r="27" spans="1:7">
      <c r="A27" s="19" t="s">
        <v>119</v>
      </c>
      <c r="B27" s="21">
        <f>IF('2026净销售数量'!B27=0,0,IF('2026净销售数量'!B27&lt;口径与门店映射!$C$5/2,0,ROUND('2026净销售数量'!B27/口径与门店映射!$C$5,0)*口径与门店映射!$C$5))</f>
        <v>0</v>
      </c>
      <c r="C27" s="21">
        <f>IF('2026净销售数量'!C27=0,0,IF('2026净销售数量'!C27&lt;口径与门店映射!$C$6/2,0,ROUND('2026净销售数量'!C27/口径与门店映射!$C$6,0)*口径与门店映射!$C$6))</f>
        <v>144</v>
      </c>
      <c r="D27" s="21">
        <f>IF('2026净销售数量'!D27=0,0,IF('2026净销售数量'!D27&lt;口径与门店映射!$C$7/2,0,ROUND('2026净销售数量'!D27/口径与门店映射!$C$7,0)*口径与门店映射!$C$7))</f>
        <v>0</v>
      </c>
      <c r="E27" s="21">
        <f>IF('2026净销售数量'!E27=0,0,IF('2026净销售数量'!E27&lt;口径与门店映射!$C$8/2,0,ROUND('2026净销售数量'!E27/口径与门店映射!$C$8,0)*口径与门店映射!$C$8))</f>
        <v>0</v>
      </c>
      <c r="F27" s="21">
        <f>IF('2026净销售数量'!F27=0,0,IF('2026净销售数量'!F27&lt;口径与门店映射!$C$9/2,0,ROUND('2026净销售数量'!F27/口径与门店映射!$C$9,0)*口径与门店映射!$C$9))</f>
        <v>0</v>
      </c>
      <c r="G27" s="21">
        <f t="shared" si="0"/>
        <v>144</v>
      </c>
    </row>
    <row r="28" spans="1:7">
      <c r="A28" s="19" t="s">
        <v>122</v>
      </c>
      <c r="B28" s="21">
        <f>IF('2026净销售数量'!B28=0,0,IF('2026净销售数量'!B28&lt;口径与门店映射!$C$5/2,0,ROUND('2026净销售数量'!B28/口径与门店映射!$C$5,0)*口径与门店映射!$C$5))</f>
        <v>288</v>
      </c>
      <c r="C28" s="21">
        <f>IF('2026净销售数量'!C28=0,0,IF('2026净销售数量'!C28&lt;口径与门店映射!$C$6/2,0,ROUND('2026净销售数量'!C28/口径与门店映射!$C$6,0)*口径与门店映射!$C$6))</f>
        <v>0</v>
      </c>
      <c r="D28" s="21">
        <f>IF('2026净销售数量'!D28=0,0,IF('2026净销售数量'!D28&lt;口径与门店映射!$C$7/2,0,ROUND('2026净销售数量'!D28/口径与门店映射!$C$7,0)*口径与门店映射!$C$7))</f>
        <v>288</v>
      </c>
      <c r="E28" s="21">
        <f>IF('2026净销售数量'!E28=0,0,IF('2026净销售数量'!E28&lt;口径与门店映射!$C$8/2,0,ROUND('2026净销售数量'!E28/口径与门店映射!$C$8,0)*口径与门店映射!$C$8))</f>
        <v>0</v>
      </c>
      <c r="F28" s="21">
        <f>IF('2026净销售数量'!F28=0,0,IF('2026净销售数量'!F28&lt;口径与门店映射!$C$9/2,0,ROUND('2026净销售数量'!F28/口径与门店映射!$C$9,0)*口径与门店映射!$C$9))</f>
        <v>0</v>
      </c>
      <c r="G28" s="21">
        <f t="shared" si="0"/>
        <v>576</v>
      </c>
    </row>
    <row r="29" spans="1:7">
      <c r="A29" s="19" t="s">
        <v>125</v>
      </c>
      <c r="B29" s="21"/>
      <c r="C29" s="21"/>
      <c r="D29" s="21"/>
      <c r="E29" s="21"/>
      <c r="F29" s="21"/>
      <c r="G29" s="21">
        <f t="shared" si="0"/>
        <v>0</v>
      </c>
    </row>
    <row r="30" spans="1:7">
      <c r="A30" s="19" t="s">
        <v>126</v>
      </c>
      <c r="B30" s="21">
        <f>MAX(0,ROUNDUP((SUM('2026净销售数量'!B$5:B$29)*口径与门店映射!$L$2-SUM(B$5:B$29))/口径与门店映射!$C$5,0)*口径与门店映射!$C$5)</f>
        <v>288</v>
      </c>
      <c r="C30" s="21">
        <f>MAX(0,ROUNDUP((SUM('2026净销售数量'!C$5:C$29)*口径与门店映射!$L$2-SUM(C$5:C$29))/口径与门店映射!$C$6,0)*口径与门店映射!$C$6)</f>
        <v>0</v>
      </c>
      <c r="D30" s="21">
        <f>MAX(0,ROUNDUP((SUM('2026净销售数量'!D$5:D$29)*口径与门店映射!$L$2-SUM(D$5:D$29))/口径与门店映射!$C$7,0)*口径与门店映射!$C$7)</f>
        <v>144</v>
      </c>
      <c r="E30" s="21">
        <f>MAX(0,ROUNDUP((SUM('2026净销售数量'!E$5:E$29)*口径与门店映射!$L$2-SUM(E$5:E$29))/口径与门店映射!$C$8,0)*口径与门店映射!$C$8)</f>
        <v>300</v>
      </c>
      <c r="F30" s="21">
        <f>MAX(0,ROUNDUP((SUM('2026净销售数量'!F$5:F$29)*口径与门店映射!$L$2-SUM(F$5:F$29))/口径与门店映射!$C$9,0)*口径与门店映射!$C$9)</f>
        <v>300</v>
      </c>
      <c r="G30" s="21">
        <f t="shared" si="0"/>
        <v>1032</v>
      </c>
    </row>
    <row r="31" ht="15.95" spans="1:7">
      <c r="A31" s="22" t="s">
        <v>341</v>
      </c>
      <c r="B31" s="23">
        <f t="shared" ref="B31:G31" si="1">SUM(B5:B30)</f>
        <v>3312</v>
      </c>
      <c r="C31" s="23">
        <f t="shared" si="1"/>
        <v>2592</v>
      </c>
      <c r="D31" s="23">
        <f t="shared" si="1"/>
        <v>2592</v>
      </c>
      <c r="E31" s="23">
        <f t="shared" si="1"/>
        <v>1500</v>
      </c>
      <c r="F31" s="23">
        <f t="shared" si="1"/>
        <v>600</v>
      </c>
      <c r="G31" s="23">
        <f t="shared" si="1"/>
        <v>10596</v>
      </c>
    </row>
    <row r="32" ht="15.95"/>
  </sheetData>
  <mergeCells count="2">
    <mergeCell ref="A1:G1"/>
    <mergeCell ref="A2:G2"/>
  </mergeCells>
  <conditionalFormatting sqref="B5:F30">
    <cfRule type="colorScale" priority="1">
      <colorScale>
        <cfvo type="min"/>
        <cfvo type="percentile" val="50"/>
        <cfvo type="max"/>
        <color rgb="FFFFFFFF"/>
        <color rgb="FFE4DFEC"/>
        <color rgb="FF7030A0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showGridLines="0" workbookViewId="0">
      <selection activeCell="A1" sqref="A1:F1"/>
    </sheetView>
  </sheetViews>
  <sheetFormatPr defaultColWidth="9" defaultRowHeight="15.2" outlineLevelCol="5"/>
  <cols>
    <col min="1" max="1" width="27" customWidth="1"/>
    <col min="2" max="6" width="31" customWidth="1"/>
  </cols>
  <sheetData>
    <row r="1" ht="30" customHeight="1" spans="1:6">
      <c r="A1" s="17" t="s">
        <v>348</v>
      </c>
      <c r="B1" s="17"/>
      <c r="C1" s="17"/>
      <c r="D1" s="17"/>
      <c r="E1" s="17"/>
      <c r="F1" s="17"/>
    </row>
    <row r="2" ht="34" customHeight="1" spans="1:6">
      <c r="A2" s="18" t="s">
        <v>349</v>
      </c>
      <c r="B2" s="18"/>
      <c r="C2" s="18"/>
      <c r="D2" s="18"/>
      <c r="E2" s="18"/>
      <c r="F2" s="18"/>
    </row>
    <row r="4" ht="24" customHeight="1" spans="1:6">
      <c r="A4" s="6" t="s">
        <v>339</v>
      </c>
      <c r="B4" s="6" t="s">
        <v>21</v>
      </c>
      <c r="C4" s="6" t="s">
        <v>25</v>
      </c>
      <c r="D4" s="6" t="s">
        <v>28</v>
      </c>
      <c r="E4" s="6" t="s">
        <v>32</v>
      </c>
      <c r="F4" s="6" t="s">
        <v>36</v>
      </c>
    </row>
    <row r="5" ht="52" customHeight="1" spans="1:6">
      <c r="A5" s="19" t="s">
        <v>20</v>
      </c>
      <c r="B5" s="20" t="s">
        <v>350</v>
      </c>
      <c r="C5" s="20" t="s">
        <v>351</v>
      </c>
      <c r="D5" s="20" t="s">
        <v>352</v>
      </c>
      <c r="E5" s="20" t="s">
        <v>353</v>
      </c>
      <c r="F5" s="20" t="s">
        <v>353</v>
      </c>
    </row>
    <row r="6" ht="52" customHeight="1" spans="1:6">
      <c r="A6" s="19" t="s">
        <v>39</v>
      </c>
      <c r="B6" s="20" t="s">
        <v>354</v>
      </c>
      <c r="C6" s="20" t="s">
        <v>355</v>
      </c>
      <c r="D6" s="20" t="s">
        <v>356</v>
      </c>
      <c r="E6" s="20" t="s">
        <v>353</v>
      </c>
      <c r="F6" s="20" t="s">
        <v>353</v>
      </c>
    </row>
    <row r="7" ht="52" customHeight="1" spans="1:6">
      <c r="A7" s="19" t="s">
        <v>43</v>
      </c>
      <c r="B7" s="20" t="s">
        <v>357</v>
      </c>
      <c r="C7" s="20" t="s">
        <v>358</v>
      </c>
      <c r="D7" s="20" t="s">
        <v>359</v>
      </c>
      <c r="E7" s="20" t="s">
        <v>353</v>
      </c>
      <c r="F7" s="20" t="s">
        <v>353</v>
      </c>
    </row>
    <row r="8" ht="52" customHeight="1" spans="1:6">
      <c r="A8" s="19" t="s">
        <v>47</v>
      </c>
      <c r="B8" s="20" t="s">
        <v>360</v>
      </c>
      <c r="C8" s="20" t="s">
        <v>361</v>
      </c>
      <c r="D8" s="20" t="s">
        <v>362</v>
      </c>
      <c r="E8" s="20" t="s">
        <v>353</v>
      </c>
      <c r="F8" s="20" t="s">
        <v>353</v>
      </c>
    </row>
    <row r="9" ht="52" customHeight="1" spans="1:6">
      <c r="A9" s="19" t="s">
        <v>51</v>
      </c>
      <c r="B9" s="20" t="s">
        <v>363</v>
      </c>
      <c r="C9" s="20" t="s">
        <v>353</v>
      </c>
      <c r="D9" s="20" t="s">
        <v>364</v>
      </c>
      <c r="E9" s="20" t="s">
        <v>353</v>
      </c>
      <c r="F9" s="20" t="s">
        <v>353</v>
      </c>
    </row>
    <row r="10" ht="52" customHeight="1" spans="1:6">
      <c r="A10" s="19" t="s">
        <v>54</v>
      </c>
      <c r="B10" s="20" t="s">
        <v>365</v>
      </c>
      <c r="C10" s="20" t="s">
        <v>366</v>
      </c>
      <c r="D10" s="20" t="s">
        <v>367</v>
      </c>
      <c r="E10" s="20" t="s">
        <v>353</v>
      </c>
      <c r="F10" s="20" t="s">
        <v>353</v>
      </c>
    </row>
    <row r="11" ht="52" customHeight="1" spans="1:6">
      <c r="A11" s="19" t="s">
        <v>57</v>
      </c>
      <c r="B11" s="20" t="s">
        <v>368</v>
      </c>
      <c r="C11" s="20" t="s">
        <v>369</v>
      </c>
      <c r="D11" s="20" t="s">
        <v>370</v>
      </c>
      <c r="E11" s="20" t="s">
        <v>371</v>
      </c>
      <c r="F11" s="20" t="s">
        <v>372</v>
      </c>
    </row>
    <row r="12" ht="52" customHeight="1" spans="1:6">
      <c r="A12" s="19" t="s">
        <v>63</v>
      </c>
      <c r="B12" s="20" t="s">
        <v>373</v>
      </c>
      <c r="C12" s="20" t="s">
        <v>374</v>
      </c>
      <c r="D12" s="20" t="s">
        <v>367</v>
      </c>
      <c r="E12" s="20" t="s">
        <v>353</v>
      </c>
      <c r="F12" s="20" t="s">
        <v>353</v>
      </c>
    </row>
    <row r="13" ht="52" customHeight="1" spans="1:6">
      <c r="A13" s="19" t="s">
        <v>66</v>
      </c>
      <c r="B13" s="20" t="s">
        <v>375</v>
      </c>
      <c r="C13" s="20" t="s">
        <v>376</v>
      </c>
      <c r="D13" s="20" t="s">
        <v>377</v>
      </c>
      <c r="E13" s="20" t="s">
        <v>353</v>
      </c>
      <c r="F13" s="20" t="s">
        <v>353</v>
      </c>
    </row>
    <row r="14" ht="52" customHeight="1" spans="1:6">
      <c r="A14" s="19" t="s">
        <v>70</v>
      </c>
      <c r="B14" s="20" t="s">
        <v>378</v>
      </c>
      <c r="C14" s="20" t="s">
        <v>379</v>
      </c>
      <c r="D14" s="20" t="s">
        <v>380</v>
      </c>
      <c r="E14" s="20" t="s">
        <v>353</v>
      </c>
      <c r="F14" s="20" t="s">
        <v>353</v>
      </c>
    </row>
    <row r="15" ht="52" customHeight="1" spans="1:6">
      <c r="A15" s="19" t="s">
        <v>74</v>
      </c>
      <c r="B15" s="20" t="s">
        <v>381</v>
      </c>
      <c r="C15" s="20" t="s">
        <v>382</v>
      </c>
      <c r="D15" s="20" t="s">
        <v>383</v>
      </c>
      <c r="E15" s="20" t="s">
        <v>353</v>
      </c>
      <c r="F15" s="20" t="s">
        <v>353</v>
      </c>
    </row>
    <row r="16" ht="52" customHeight="1" spans="1:6">
      <c r="A16" s="19" t="s">
        <v>78</v>
      </c>
      <c r="B16" s="20" t="s">
        <v>384</v>
      </c>
      <c r="C16" s="20" t="s">
        <v>385</v>
      </c>
      <c r="D16" s="20" t="s">
        <v>386</v>
      </c>
      <c r="E16" s="20" t="s">
        <v>387</v>
      </c>
      <c r="F16" s="20" t="s">
        <v>388</v>
      </c>
    </row>
    <row r="17" ht="52" customHeight="1" spans="1:6">
      <c r="A17" s="19" t="s">
        <v>84</v>
      </c>
      <c r="B17" s="20" t="s">
        <v>368</v>
      </c>
      <c r="C17" s="20" t="s">
        <v>389</v>
      </c>
      <c r="D17" s="20" t="s">
        <v>390</v>
      </c>
      <c r="E17" s="20" t="s">
        <v>353</v>
      </c>
      <c r="F17" s="20" t="s">
        <v>353</v>
      </c>
    </row>
    <row r="18" ht="52" customHeight="1" spans="1:6">
      <c r="A18" s="19" t="s">
        <v>88</v>
      </c>
      <c r="B18" s="20" t="s">
        <v>391</v>
      </c>
      <c r="C18" s="20" t="s">
        <v>353</v>
      </c>
      <c r="D18" s="20" t="s">
        <v>392</v>
      </c>
      <c r="E18" s="20" t="s">
        <v>393</v>
      </c>
      <c r="F18" s="20" t="s">
        <v>394</v>
      </c>
    </row>
    <row r="19" ht="52" customHeight="1" spans="1:6">
      <c r="A19" s="19" t="s">
        <v>93</v>
      </c>
      <c r="B19" s="20" t="s">
        <v>395</v>
      </c>
      <c r="C19" s="20" t="s">
        <v>396</v>
      </c>
      <c r="D19" s="20" t="s">
        <v>367</v>
      </c>
      <c r="E19" s="20" t="s">
        <v>353</v>
      </c>
      <c r="F19" s="20" t="s">
        <v>353</v>
      </c>
    </row>
    <row r="20" ht="52" customHeight="1" spans="1:6">
      <c r="A20" s="19" t="s">
        <v>96</v>
      </c>
      <c r="B20" s="20" t="s">
        <v>367</v>
      </c>
      <c r="C20" s="20" t="s">
        <v>397</v>
      </c>
      <c r="D20" s="20" t="s">
        <v>398</v>
      </c>
      <c r="E20" s="20" t="s">
        <v>353</v>
      </c>
      <c r="F20" s="20" t="s">
        <v>353</v>
      </c>
    </row>
    <row r="21" ht="52" customHeight="1" spans="1:6">
      <c r="A21" s="19" t="s">
        <v>99</v>
      </c>
      <c r="B21" s="20" t="s">
        <v>399</v>
      </c>
      <c r="C21" s="20" t="s">
        <v>400</v>
      </c>
      <c r="D21" s="20" t="s">
        <v>401</v>
      </c>
      <c r="E21" s="20" t="s">
        <v>402</v>
      </c>
      <c r="F21" s="20" t="s">
        <v>353</v>
      </c>
    </row>
    <row r="22" ht="52" customHeight="1" spans="1:6">
      <c r="A22" s="19" t="s">
        <v>102</v>
      </c>
      <c r="B22" s="20" t="s">
        <v>367</v>
      </c>
      <c r="C22" s="20" t="s">
        <v>403</v>
      </c>
      <c r="D22" s="20" t="s">
        <v>367</v>
      </c>
      <c r="E22" s="20" t="s">
        <v>404</v>
      </c>
      <c r="F22" s="20" t="s">
        <v>353</v>
      </c>
    </row>
    <row r="23" ht="52" customHeight="1" spans="1:6">
      <c r="A23" s="19" t="s">
        <v>105</v>
      </c>
      <c r="B23" s="20" t="s">
        <v>405</v>
      </c>
      <c r="C23" s="20" t="s">
        <v>353</v>
      </c>
      <c r="D23" s="20" t="s">
        <v>406</v>
      </c>
      <c r="E23" s="20" t="s">
        <v>353</v>
      </c>
      <c r="F23" s="20" t="s">
        <v>353</v>
      </c>
    </row>
    <row r="24" ht="52" customHeight="1" spans="1:6">
      <c r="A24" s="19" t="s">
        <v>108</v>
      </c>
      <c r="B24" s="20" t="s">
        <v>407</v>
      </c>
      <c r="C24" s="20" t="s">
        <v>353</v>
      </c>
      <c r="D24" s="20" t="s">
        <v>408</v>
      </c>
      <c r="E24" s="20" t="s">
        <v>353</v>
      </c>
      <c r="F24" s="20" t="s">
        <v>353</v>
      </c>
    </row>
    <row r="25" ht="52" customHeight="1" spans="1:6">
      <c r="A25" s="19" t="s">
        <v>111</v>
      </c>
      <c r="B25" s="20" t="s">
        <v>409</v>
      </c>
      <c r="C25" s="20" t="s">
        <v>410</v>
      </c>
      <c r="D25" s="20" t="s">
        <v>411</v>
      </c>
      <c r="E25" s="20" t="s">
        <v>353</v>
      </c>
      <c r="F25" s="20" t="s">
        <v>353</v>
      </c>
    </row>
    <row r="26" ht="52" customHeight="1" spans="1:6">
      <c r="A26" s="19" t="s">
        <v>115</v>
      </c>
      <c r="B26" s="20" t="s">
        <v>412</v>
      </c>
      <c r="C26" s="20" t="s">
        <v>413</v>
      </c>
      <c r="D26" s="20" t="s">
        <v>414</v>
      </c>
      <c r="E26" s="20" t="s">
        <v>353</v>
      </c>
      <c r="F26" s="20" t="s">
        <v>353</v>
      </c>
    </row>
    <row r="27" ht="52" customHeight="1" spans="1:6">
      <c r="A27" s="19" t="s">
        <v>119</v>
      </c>
      <c r="B27" s="20" t="s">
        <v>367</v>
      </c>
      <c r="C27" s="20" t="s">
        <v>415</v>
      </c>
      <c r="D27" s="20" t="s">
        <v>416</v>
      </c>
      <c r="E27" s="20" t="s">
        <v>353</v>
      </c>
      <c r="F27" s="20" t="s">
        <v>353</v>
      </c>
    </row>
    <row r="28" ht="52" customHeight="1" spans="1:6">
      <c r="A28" s="19" t="s">
        <v>122</v>
      </c>
      <c r="B28" s="20" t="s">
        <v>417</v>
      </c>
      <c r="C28" s="20" t="s">
        <v>353</v>
      </c>
      <c r="D28" s="20" t="s">
        <v>418</v>
      </c>
      <c r="E28" s="20" t="s">
        <v>353</v>
      </c>
      <c r="F28" s="20" t="s">
        <v>353</v>
      </c>
    </row>
    <row r="29" ht="52" customHeight="1" spans="1:6">
      <c r="A29" s="19" t="s">
        <v>125</v>
      </c>
      <c r="B29" s="20" t="s">
        <v>419</v>
      </c>
      <c r="C29" s="20" t="s">
        <v>420</v>
      </c>
      <c r="D29" s="20" t="s">
        <v>419</v>
      </c>
      <c r="E29" s="20" t="s">
        <v>420</v>
      </c>
      <c r="F29" s="20" t="s">
        <v>420</v>
      </c>
    </row>
    <row r="30" ht="52" customHeight="1" spans="1:6">
      <c r="A30" s="19" t="s">
        <v>126</v>
      </c>
      <c r="B30" s="20" t="s">
        <v>421</v>
      </c>
      <c r="C30" s="20" t="s">
        <v>422</v>
      </c>
      <c r="D30" s="20" t="s">
        <v>423</v>
      </c>
      <c r="E30" s="20" t="s">
        <v>424</v>
      </c>
      <c r="F30" s="20" t="s">
        <v>424</v>
      </c>
    </row>
  </sheetData>
  <mergeCells count="2">
    <mergeCell ref="A1:F1"/>
    <mergeCell ref="A2:F2"/>
  </mergeCells>
  <conditionalFormatting sqref="B5:F30">
    <cfRule type="containsText" dxfId="7" priority="1" operator="between" text="人工核对">
      <formula>NOT(ISERROR(SEARCH("人工核对",B5)))</formula>
    </cfRule>
    <cfRule type="containsText" dxfId="8" priority="2" operator="between" text="建议0">
      <formula>NOT(ISERROR(SEARCH("建议0",B5)))</formula>
    </cfRule>
    <cfRule type="containsText" dxfId="0" priority="3" operator="between" text="退货率≥20%">
      <formula>NOT(ISERROR(SEARCH("退货率≥20%",B5)))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showGridLines="0" workbookViewId="0">
      <selection activeCell="A1" sqref="A1:I1"/>
    </sheetView>
  </sheetViews>
  <sheetFormatPr defaultColWidth="9" defaultRowHeight="15.2"/>
  <cols>
    <col min="1" max="1" width="15" customWidth="1"/>
    <col min="2" max="2" width="39" customWidth="1"/>
    <col min="3" max="3" width="24" customWidth="1"/>
    <col min="4" max="6" width="16" customWidth="1"/>
    <col min="7" max="10" width="18" customWidth="1"/>
    <col min="11" max="11" width="22" customWidth="1"/>
    <col min="12" max="12" width="12" customWidth="1"/>
  </cols>
  <sheetData>
    <row r="1" ht="30" customHeight="1" spans="1:12">
      <c r="A1" s="1" t="s">
        <v>425</v>
      </c>
      <c r="B1" s="1"/>
      <c r="C1" s="1"/>
      <c r="D1" s="1"/>
      <c r="E1" s="1"/>
      <c r="F1" s="1"/>
      <c r="G1" s="1"/>
      <c r="H1" s="1"/>
      <c r="I1" s="1"/>
      <c r="K1" s="2" t="s">
        <v>426</v>
      </c>
      <c r="L1" s="2"/>
    </row>
    <row r="2" spans="1:12">
      <c r="A2" s="3" t="s">
        <v>427</v>
      </c>
      <c r="B2" s="3"/>
      <c r="C2" s="3"/>
      <c r="D2" s="3"/>
      <c r="E2" s="3"/>
      <c r="F2" s="3"/>
      <c r="G2" s="3"/>
      <c r="H2" s="3"/>
      <c r="I2" s="3"/>
      <c r="K2" s="4" t="s">
        <v>428</v>
      </c>
      <c r="L2" s="5">
        <v>1.05</v>
      </c>
    </row>
    <row r="4" spans="1:12">
      <c r="A4" s="6" t="s">
        <v>309</v>
      </c>
      <c r="B4" s="6" t="s">
        <v>7</v>
      </c>
      <c r="C4" s="6" t="s">
        <v>429</v>
      </c>
      <c r="D4" s="6" t="s">
        <v>430</v>
      </c>
      <c r="E4" s="6" t="s">
        <v>431</v>
      </c>
      <c r="F4" s="6" t="s">
        <v>432</v>
      </c>
      <c r="G4" s="6" t="s">
        <v>433</v>
      </c>
      <c r="H4" s="6" t="s">
        <v>434</v>
      </c>
      <c r="I4" s="6" t="s">
        <v>435</v>
      </c>
    </row>
    <row r="5" spans="1:12">
      <c r="A5" s="7" t="s">
        <v>21</v>
      </c>
      <c r="B5" s="7" t="s">
        <v>22</v>
      </c>
      <c r="C5" s="8">
        <v>144</v>
      </c>
      <c r="D5" s="8">
        <f>'2026进货数量'!B31</f>
        <v>5328</v>
      </c>
      <c r="E5" s="8">
        <f>'2026供应商退货'!B31</f>
        <v>1439</v>
      </c>
      <c r="F5" s="8">
        <f>'2026净销售数量'!B31</f>
        <v>3067</v>
      </c>
      <c r="G5" s="9">
        <f t="shared" ref="G5:G10" si="0">IF(D5=0,0,E5/D5)</f>
        <v>0.270082582582583</v>
      </c>
      <c r="H5" s="8">
        <f>'2027建议订货量'!B31</f>
        <v>3312</v>
      </c>
      <c r="I5" s="9">
        <f t="shared" ref="I5:I10" si="1">IF(D5=0,0,H5/D5-1)</f>
        <v>-0.378378378378378</v>
      </c>
    </row>
    <row r="6" spans="1:12">
      <c r="A6" s="7" t="s">
        <v>25</v>
      </c>
      <c r="B6" s="7" t="s">
        <v>26</v>
      </c>
      <c r="C6" s="8">
        <v>144</v>
      </c>
      <c r="D6" s="8">
        <f>'2026进货数量'!C31</f>
        <v>4032</v>
      </c>
      <c r="E6" s="8">
        <f>'2026供应商退货'!C31</f>
        <v>803</v>
      </c>
      <c r="F6" s="8">
        <f>'2026净销售数量'!C31</f>
        <v>2391</v>
      </c>
      <c r="G6" s="9">
        <f t="shared" si="0"/>
        <v>0.199156746031746</v>
      </c>
      <c r="H6" s="8">
        <f>'2027建议订货量'!C31</f>
        <v>2592</v>
      </c>
      <c r="I6" s="9">
        <f t="shared" si="1"/>
        <v>-0.357142857142857</v>
      </c>
    </row>
    <row r="7" spans="1:12">
      <c r="A7" s="7" t="s">
        <v>28</v>
      </c>
      <c r="B7" s="7" t="s">
        <v>29</v>
      </c>
      <c r="C7" s="8">
        <v>144</v>
      </c>
      <c r="D7" s="8">
        <f>'2026进货数量'!D31</f>
        <v>5040</v>
      </c>
      <c r="E7" s="8">
        <f>'2026供应商退货'!D31</f>
        <v>1322</v>
      </c>
      <c r="F7" s="8">
        <f>'2026净销售数量'!D31</f>
        <v>2354</v>
      </c>
      <c r="G7" s="9">
        <f t="shared" si="0"/>
        <v>0.262301587301587</v>
      </c>
      <c r="H7" s="8">
        <f>'2027建议订货量'!D31</f>
        <v>2592</v>
      </c>
      <c r="I7" s="9">
        <f t="shared" si="1"/>
        <v>-0.485714285714286</v>
      </c>
    </row>
    <row r="8" spans="1:12">
      <c r="A8" s="7" t="s">
        <v>32</v>
      </c>
      <c r="B8" s="7" t="s">
        <v>33</v>
      </c>
      <c r="C8" s="8">
        <v>300</v>
      </c>
      <c r="D8" s="8">
        <f>'2026进货数量'!E31</f>
        <v>1200</v>
      </c>
      <c r="E8" s="8">
        <f>'2026供应商退货'!E31</f>
        <v>0</v>
      </c>
      <c r="F8" s="8">
        <f>'2026净销售数量'!E31</f>
        <v>1285</v>
      </c>
      <c r="G8" s="9">
        <f t="shared" si="0"/>
        <v>0</v>
      </c>
      <c r="H8" s="8">
        <f>'2027建议订货量'!E31</f>
        <v>1500</v>
      </c>
      <c r="I8" s="9">
        <f t="shared" si="1"/>
        <v>0.25</v>
      </c>
    </row>
    <row r="9" spans="1:12">
      <c r="A9" s="7" t="s">
        <v>36</v>
      </c>
      <c r="B9" s="7" t="s">
        <v>37</v>
      </c>
      <c r="C9" s="8">
        <v>300</v>
      </c>
      <c r="D9" s="8">
        <f>'2026进货数量'!F31</f>
        <v>600</v>
      </c>
      <c r="E9" s="8">
        <f>'2026供应商退货'!F31</f>
        <v>0</v>
      </c>
      <c r="F9" s="8">
        <f>'2026净销售数量'!F31</f>
        <v>320</v>
      </c>
      <c r="G9" s="9">
        <f t="shared" si="0"/>
        <v>0</v>
      </c>
      <c r="H9" s="8">
        <f>'2027建议订货量'!F31</f>
        <v>600</v>
      </c>
      <c r="I9" s="9">
        <f t="shared" si="1"/>
        <v>0</v>
      </c>
    </row>
    <row r="10" ht="15.95" spans="1:12">
      <c r="A10" s="10" t="s">
        <v>312</v>
      </c>
      <c r="B10" s="10" t="s">
        <v>296</v>
      </c>
      <c r="C10" s="11" t="s">
        <v>296</v>
      </c>
      <c r="D10" s="11">
        <f>SUM(D5:D9)</f>
        <v>16200</v>
      </c>
      <c r="E10" s="11">
        <f>SUM(E5:E9)</f>
        <v>3564</v>
      </c>
      <c r="F10" s="11">
        <f>SUM(F5:F9)</f>
        <v>9417</v>
      </c>
      <c r="G10" s="12">
        <f t="shared" si="0"/>
        <v>0.22</v>
      </c>
      <c r="H10" s="11">
        <f>SUM(H5:H9)</f>
        <v>10596</v>
      </c>
      <c r="I10" s="12">
        <f t="shared" si="1"/>
        <v>-0.345925925925926</v>
      </c>
    </row>
    <row r="11" ht="15.95"/>
    <row r="13" spans="1:12">
      <c r="A13" s="13" t="s">
        <v>436</v>
      </c>
      <c r="B13" s="13" t="s">
        <v>437</v>
      </c>
      <c r="C13" s="13" t="s">
        <v>438</v>
      </c>
      <c r="D13" s="13" t="s">
        <v>439</v>
      </c>
      <c r="E13" s="13" t="s">
        <v>440</v>
      </c>
      <c r="G13" s="2" t="s">
        <v>441</v>
      </c>
      <c r="H13" s="2"/>
      <c r="I13" s="2"/>
      <c r="J13" s="2"/>
    </row>
    <row r="14" spans="1:12">
      <c r="A14" s="14" t="s">
        <v>203</v>
      </c>
      <c r="B14" s="14" t="s">
        <v>204</v>
      </c>
      <c r="C14" s="14" t="s">
        <v>20</v>
      </c>
      <c r="D14" s="14" t="s">
        <v>442</v>
      </c>
      <c r="E14" s="14" t="s">
        <v>443</v>
      </c>
      <c r="G14" s="15" t="s">
        <v>444</v>
      </c>
      <c r="H14" s="16" t="s">
        <v>445</v>
      </c>
      <c r="I14" s="16"/>
      <c r="J14" s="16"/>
    </row>
    <row r="15" spans="1:12">
      <c r="A15" s="14" t="s">
        <v>173</v>
      </c>
      <c r="B15" s="14" t="s">
        <v>174</v>
      </c>
      <c r="C15" s="14" t="s">
        <v>39</v>
      </c>
      <c r="D15" s="14" t="s">
        <v>446</v>
      </c>
      <c r="E15" s="14" t="s">
        <v>443</v>
      </c>
      <c r="G15" s="15" t="s">
        <v>447</v>
      </c>
      <c r="H15" s="16" t="s">
        <v>448</v>
      </c>
      <c r="I15" s="16"/>
      <c r="J15" s="16"/>
    </row>
    <row r="16" spans="1:12">
      <c r="A16" s="14" t="s">
        <v>171</v>
      </c>
      <c r="B16" s="14" t="s">
        <v>172</v>
      </c>
      <c r="C16" s="14" t="s">
        <v>43</v>
      </c>
      <c r="D16" s="14" t="s">
        <v>449</v>
      </c>
      <c r="E16" s="14" t="s">
        <v>443</v>
      </c>
      <c r="G16" s="15" t="s">
        <v>450</v>
      </c>
      <c r="H16" s="16" t="s">
        <v>451</v>
      </c>
      <c r="I16" s="16"/>
      <c r="J16" s="16"/>
    </row>
    <row r="17" spans="1:10">
      <c r="A17" s="14" t="s">
        <v>185</v>
      </c>
      <c r="B17" s="14" t="s">
        <v>186</v>
      </c>
      <c r="C17" s="14" t="s">
        <v>47</v>
      </c>
      <c r="D17" s="14" t="s">
        <v>452</v>
      </c>
      <c r="E17" s="14" t="s">
        <v>443</v>
      </c>
      <c r="G17" s="15" t="s">
        <v>453</v>
      </c>
      <c r="H17" s="16" t="s">
        <v>454</v>
      </c>
      <c r="I17" s="16"/>
      <c r="J17" s="16"/>
    </row>
    <row r="18" spans="1:10">
      <c r="A18" s="14" t="s">
        <v>199</v>
      </c>
      <c r="B18" s="14" t="s">
        <v>200</v>
      </c>
      <c r="C18" s="14" t="s">
        <v>51</v>
      </c>
      <c r="D18" s="14" t="s">
        <v>455</v>
      </c>
      <c r="E18" s="14" t="s">
        <v>443</v>
      </c>
      <c r="G18" s="15" t="s">
        <v>456</v>
      </c>
      <c r="H18" s="16" t="s">
        <v>457</v>
      </c>
      <c r="I18" s="16"/>
      <c r="J18" s="16"/>
    </row>
    <row r="19" spans="1:10">
      <c r="A19" s="14" t="s">
        <v>205</v>
      </c>
      <c r="B19" s="14" t="s">
        <v>206</v>
      </c>
      <c r="C19" s="14" t="s">
        <v>54</v>
      </c>
      <c r="D19" s="14" t="s">
        <v>458</v>
      </c>
      <c r="E19" s="14" t="s">
        <v>443</v>
      </c>
      <c r="G19" s="15" t="s">
        <v>459</v>
      </c>
      <c r="H19" s="16" t="s">
        <v>460</v>
      </c>
      <c r="I19" s="16"/>
      <c r="J19" s="16"/>
    </row>
    <row r="20" spans="1:10">
      <c r="A20" s="14" t="s">
        <v>169</v>
      </c>
      <c r="B20" s="14" t="s">
        <v>170</v>
      </c>
      <c r="C20" s="14" t="s">
        <v>57</v>
      </c>
      <c r="D20" s="14" t="s">
        <v>461</v>
      </c>
      <c r="E20" s="14" t="s">
        <v>443</v>
      </c>
      <c r="G20" s="15" t="s">
        <v>462</v>
      </c>
      <c r="H20" s="16" t="s">
        <v>463</v>
      </c>
      <c r="I20" s="16"/>
      <c r="J20" s="16"/>
    </row>
    <row r="21" spans="1:10">
      <c r="A21" s="14" t="s">
        <v>181</v>
      </c>
      <c r="B21" s="14" t="s">
        <v>182</v>
      </c>
      <c r="C21" s="14" t="s">
        <v>63</v>
      </c>
      <c r="D21" s="14" t="s">
        <v>464</v>
      </c>
      <c r="E21" s="14" t="s">
        <v>443</v>
      </c>
      <c r="G21" s="15" t="s">
        <v>465</v>
      </c>
      <c r="H21" s="16" t="s">
        <v>466</v>
      </c>
      <c r="I21" s="16"/>
      <c r="J21" s="16"/>
    </row>
    <row r="22" spans="1:10">
      <c r="A22" s="14" t="s">
        <v>179</v>
      </c>
      <c r="B22" s="14" t="s">
        <v>180</v>
      </c>
      <c r="C22" s="14" t="s">
        <v>66</v>
      </c>
      <c r="D22" s="14" t="s">
        <v>467</v>
      </c>
      <c r="E22" s="14" t="s">
        <v>443</v>
      </c>
      <c r="G22" s="15" t="s">
        <v>468</v>
      </c>
      <c r="H22" s="16" t="s">
        <v>469</v>
      </c>
      <c r="I22" s="16"/>
      <c r="J22" s="16"/>
    </row>
    <row r="23" spans="1:10">
      <c r="A23" s="14" t="s">
        <v>195</v>
      </c>
      <c r="B23" s="14" t="s">
        <v>196</v>
      </c>
      <c r="C23" s="14" t="s">
        <v>70</v>
      </c>
      <c r="D23" s="14" t="s">
        <v>470</v>
      </c>
      <c r="E23" s="14" t="s">
        <v>443</v>
      </c>
    </row>
    <row r="24" spans="1:10">
      <c r="A24" s="14" t="s">
        <v>165</v>
      </c>
      <c r="B24" s="14" t="s">
        <v>166</v>
      </c>
      <c r="C24" s="14" t="s">
        <v>74</v>
      </c>
      <c r="D24" s="14" t="s">
        <v>471</v>
      </c>
      <c r="E24" s="14" t="s">
        <v>443</v>
      </c>
    </row>
    <row r="25" spans="1:10">
      <c r="A25" s="14" t="s">
        <v>151</v>
      </c>
      <c r="B25" s="14" t="s">
        <v>152</v>
      </c>
      <c r="C25" s="14" t="s">
        <v>78</v>
      </c>
      <c r="D25" s="14" t="s">
        <v>472</v>
      </c>
      <c r="E25" s="14" t="s">
        <v>443</v>
      </c>
    </row>
    <row r="26" spans="1:10">
      <c r="A26" s="14" t="s">
        <v>189</v>
      </c>
      <c r="B26" s="14" t="s">
        <v>190</v>
      </c>
      <c r="C26" s="14" t="s">
        <v>84</v>
      </c>
      <c r="D26" s="14" t="s">
        <v>473</v>
      </c>
      <c r="E26" s="14" t="s">
        <v>443</v>
      </c>
    </row>
    <row r="27" spans="1:10">
      <c r="A27" s="14" t="s">
        <v>137</v>
      </c>
      <c r="B27" s="14" t="s">
        <v>138</v>
      </c>
      <c r="C27" s="14" t="s">
        <v>88</v>
      </c>
      <c r="D27" s="14" t="s">
        <v>474</v>
      </c>
      <c r="E27" s="14" t="s">
        <v>443</v>
      </c>
    </row>
    <row r="28" spans="1:10">
      <c r="A28" s="14" t="s">
        <v>201</v>
      </c>
      <c r="B28" s="14" t="s">
        <v>202</v>
      </c>
      <c r="C28" s="14" t="s">
        <v>93</v>
      </c>
      <c r="D28" s="14" t="s">
        <v>475</v>
      </c>
      <c r="E28" s="14" t="s">
        <v>443</v>
      </c>
    </row>
    <row r="29" spans="1:10">
      <c r="A29" s="14" t="s">
        <v>187</v>
      </c>
      <c r="B29" s="14" t="s">
        <v>188</v>
      </c>
      <c r="C29" s="14" t="s">
        <v>96</v>
      </c>
      <c r="D29" s="14" t="s">
        <v>476</v>
      </c>
      <c r="E29" s="14" t="s">
        <v>443</v>
      </c>
    </row>
    <row r="30" spans="1:10">
      <c r="A30" s="14" t="s">
        <v>197</v>
      </c>
      <c r="B30" s="14" t="s">
        <v>198</v>
      </c>
      <c r="C30" s="14" t="s">
        <v>99</v>
      </c>
      <c r="D30" s="14" t="s">
        <v>477</v>
      </c>
      <c r="E30" s="14" t="s">
        <v>443</v>
      </c>
    </row>
    <row r="31" spans="1:10">
      <c r="A31" s="14" t="s">
        <v>167</v>
      </c>
      <c r="B31" s="14" t="s">
        <v>168</v>
      </c>
      <c r="C31" s="14" t="s">
        <v>105</v>
      </c>
      <c r="D31" s="14" t="s">
        <v>478</v>
      </c>
      <c r="E31" s="14" t="s">
        <v>443</v>
      </c>
    </row>
    <row r="32" spans="1:10">
      <c r="A32" s="14" t="s">
        <v>163</v>
      </c>
      <c r="B32" s="14" t="s">
        <v>164</v>
      </c>
      <c r="C32" s="14" t="s">
        <v>115</v>
      </c>
      <c r="D32" s="14" t="s">
        <v>479</v>
      </c>
      <c r="E32" s="14" t="s">
        <v>443</v>
      </c>
    </row>
    <row r="33" spans="1:5">
      <c r="A33" s="14" t="s">
        <v>175</v>
      </c>
      <c r="B33" s="14" t="s">
        <v>176</v>
      </c>
      <c r="C33" s="14" t="s">
        <v>119</v>
      </c>
      <c r="D33" s="14" t="s">
        <v>480</v>
      </c>
      <c r="E33" s="14" t="s">
        <v>443</v>
      </c>
    </row>
    <row r="34" spans="1:5">
      <c r="A34" s="14" t="s">
        <v>177</v>
      </c>
      <c r="B34" s="14" t="s">
        <v>178</v>
      </c>
      <c r="C34" s="14" t="s">
        <v>122</v>
      </c>
      <c r="D34" s="14" t="s">
        <v>481</v>
      </c>
      <c r="E34" s="14" t="s">
        <v>443</v>
      </c>
    </row>
    <row r="35" spans="1:5">
      <c r="A35" s="14" t="s">
        <v>183</v>
      </c>
      <c r="B35" s="14" t="s">
        <v>184</v>
      </c>
      <c r="C35" s="14" t="s">
        <v>125</v>
      </c>
      <c r="D35" s="14" t="s">
        <v>296</v>
      </c>
      <c r="E35" s="14" t="s">
        <v>482</v>
      </c>
    </row>
    <row r="36" spans="1:5">
      <c r="A36" s="14" t="s">
        <v>193</v>
      </c>
      <c r="B36" s="14" t="s">
        <v>194</v>
      </c>
      <c r="C36" s="14" t="s">
        <v>108</v>
      </c>
      <c r="D36" s="14" t="s">
        <v>483</v>
      </c>
      <c r="E36" s="14" t="s">
        <v>443</v>
      </c>
    </row>
    <row r="37" spans="1:5">
      <c r="A37" s="14" t="s">
        <v>191</v>
      </c>
      <c r="B37" s="14" t="s">
        <v>192</v>
      </c>
      <c r="C37" s="14" t="s">
        <v>126</v>
      </c>
      <c r="D37" s="14" t="s">
        <v>484</v>
      </c>
      <c r="E37" s="14" t="s">
        <v>456</v>
      </c>
    </row>
  </sheetData>
  <mergeCells count="13">
    <mergeCell ref="A1:I1"/>
    <mergeCell ref="K1:L1"/>
    <mergeCell ref="A2:I2"/>
    <mergeCell ref="G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综合明细</vt:lpstr>
      <vt:lpstr>Data</vt:lpstr>
      <vt:lpstr>Query</vt:lpstr>
      <vt:lpstr>高峰与库存判断</vt:lpstr>
      <vt:lpstr>进货对账</vt:lpstr>
      <vt:lpstr>售价销量汇总</vt:lpstr>
      <vt:lpstr>2026进货数量</vt:lpstr>
      <vt:lpstr>2026供应商退货</vt:lpstr>
      <vt:lpstr>2026净销售数量</vt:lpstr>
      <vt:lpstr>2027建议订货量</vt:lpstr>
      <vt:lpstr>建议原因</vt:lpstr>
      <vt:lpstr>口径与门店映射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</cp:lastModifiedBy>
  <dcterms:created xsi:type="dcterms:W3CDTF">2026-08-03T11:59:48Z</dcterms:created>
  <dcterms:modified xsi:type="dcterms:W3CDTF">2026-08-03T12:26:05Z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64CD0C66C936B6CD6EF66F6A5FF8EAFA_42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